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bae81bd263444f" /></Relationships>
</file>

<file path=xl/workbook.xml><?xml version="1.0" encoding="utf-8"?>
<x:workbook xmlns:x="http://schemas.openxmlformats.org/spreadsheetml/2006/main">
  <x:sheets>
    <x:sheet xmlns:r="http://schemas.openxmlformats.org/officeDocument/2006/relationships" name="集計" sheetId="1" r:id="Rae6da737d208489e"/>
    <x:sheet xmlns:r="http://schemas.openxmlformats.org/officeDocument/2006/relationships" name="学習前32bit" sheetId="2" r:id="Rb94cad2fc2ee451a"/>
    <x:sheet xmlns:r="http://schemas.openxmlformats.org/officeDocument/2006/relationships" name="LoRA学習後" sheetId="3" r:id="Rec470d4b535c4f4c"/>
    <x:sheet xmlns:r="http://schemas.openxmlformats.org/officeDocument/2006/relationships" name="学習前4bit" sheetId="4" r:id="Rd7d3176dd69c4227"/>
    <x:sheet xmlns:r="http://schemas.openxmlformats.org/officeDocument/2006/relationships" name="用語集検索" sheetId="5" r:id="R3bd1d7d4a5754c3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0"/>
    <x:numFmt numFmtId="202" formatCode="0.0%"/>
  </x:numFmts>
  <x:fonts count="8">
    <x:font>
      <x:sz val="11"/>
      <x:name val="Carlito"/>
    </x:font>
    <x:font>
      <x:b/>
      <x:sz val="16"/>
      <x:color rgb="FF17375D"/>
      <x:name val="Arial"/>
    </x:font>
    <x:font>
      <x:b/>
      <x:sz val="11"/>
      <x:color rgb="FFFFFFFF"/>
      <x:name val="Arial"/>
    </x:font>
    <x:font>
      <x:b/>
      <x:sz val="15"/>
      <x:color rgb="FF17375D"/>
      <x:name val="Arial"/>
    </x:font>
    <x:font>
      <x:b/>
      <x:sz val="10"/>
      <x:color rgb="FFFFFFFF"/>
      <x:name val="Arial"/>
    </x:font>
    <x:font>
      <x:sz val="10"/>
      <x:color rgb="FF202A36"/>
      <x:name val="Arial"/>
    </x:font>
    <x:font>
      <x:b/>
      <x:sz val="10"/>
      <x:color rgb="FF8B4A00"/>
      <x:name val="Arial"/>
    </x:font>
    <x:font>
      <x:sz val="11"/>
      <x:color rgb="FF202A36"/>
      <x:name val="Arial"/>
    </x:font>
  </x:fonts>
  <x:fills count="5">
    <x:fill>
      <x:patternFill patternType="none"/>
    </x:fill>
    <x:fill>
      <x:patternFill patternType="gray125"/>
    </x:fill>
    <x:fill>
      <x:patternFill patternType="solid">
        <x:fgColor rgb="FF17375D"/>
      </x:patternFill>
    </x:fill>
    <x:fill>
      <x:patternFill patternType="solid">
        <x:fgColor rgb="FFFFF2CC"/>
      </x:patternFill>
    </x:fill>
    <x:fill>
      <x:patternFill patternType="solid">
        <x:fgColor rgb="FFEAF1F8"/>
      </x:patternFill>
    </x:fill>
  </x:fills>
  <x:borders count="1">
    <x:border>
      <x:left/>
      <x:right/>
      <x:top/>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0" fillId="3" borderId="0" xfId="0" applyNumberFormat="1" applyFont="1" applyFill="1" applyBorder="1"/>
    <x:xf numFmtId="0" fontId="0" fillId="4"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201" fontId="5" fillId="0" borderId="0" xfId="0" applyNumberFormat="1" applyFont="1" applyFill="1" applyBorder="1" applyAlignment="1">
      <x:alignment vertical="top"/>
    </x:xf>
    <x:xf numFmtId="202" fontId="0" fillId="0" borderId="0" xfId="0" applyNumberFormat="1" applyFont="1" applyFill="1" applyBorder="1"/>
    <x:xf numFmtId="201" fontId="0" fillId="0" borderId="0" xfId="0" applyNumberFormat="1" applyFont="1" applyFill="1" applyBorder="1"/>
    <x:xf numFmtId="0" fontId="7"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010dc1aebd4230" /><Relationship Type="http://schemas.openxmlformats.org/officeDocument/2006/relationships/theme" Target="/xl/theme/theme1.xml" Id="R53e0842a7a944b17" /><Relationship Type="http://schemas.openxmlformats.org/officeDocument/2006/relationships/sharedStrings" Target="/xl/sharedStrings.xml" Id="Raf36acbdef9544a2" /><Relationship Type="http://schemas.openxmlformats.org/officeDocument/2006/relationships/worksheet" Target="/xl/worksheets/sheet1.xml" Id="Rae6da737d208489e" /><Relationship Type="http://schemas.openxmlformats.org/officeDocument/2006/relationships/worksheet" Target="/xl/worksheets/sheet2.xml" Id="Rb94cad2fc2ee451a" /><Relationship Type="http://schemas.openxmlformats.org/officeDocument/2006/relationships/worksheet" Target="/xl/worksheets/sheet3.xml" Id="Rec470d4b535c4f4c" /><Relationship Type="http://schemas.openxmlformats.org/officeDocument/2006/relationships/worksheet" Target="/xl/worksheets/sheet4.xml" Id="Rd7d3176dd69c4227" /><Relationship Type="http://schemas.openxmlformats.org/officeDocument/2006/relationships/worksheet" Target="/xl/worksheets/sheet5.xml" Id="R3bd1d7d4a5754c3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75D"/>
  </x:sheetPr>
  <x:sheetViews>
    <x:sheetView showGridLines="0" workbookViewId="0"/>
  </x:sheetViews>
  <x:sheetFormatPr defaultRowHeight="15"/>
  <x:cols>
    <x:col min="2" max="2" width="26" hidden="0" customWidth="1"/>
    <x:col min="3" max="3" width="14" hidden="0" customWidth="1"/>
    <x:col min="4" max="4" width="16" hidden="0" customWidth="1"/>
    <x:col min="5" max="5" width="14" hidden="0" customWidth="1"/>
    <x:col min="6" max="6" width="16" hidden="0" customWidth="1"/>
    <x:col min="7" max="7" width="16" hidden="0" customWidth="1"/>
  </x:cols>
  <x:sheetData>
    <x:row r="2">
      <x:c r="B2" s="1" t="str">
        <x:v>講座用語集：回答内容の確認</x:v>
      </x:c>
    </x:row>
    <x:row r="4">
      <x:c r="B4" t="str">
        <x:v>各条件の「確認後の判定」をプルダウンで変更すると、以下の集計が更新されます。</x:v>
      </x:c>
    </x:row>
    <x:row r="5">
      <x:c r="B5" t="str">
        <x:v>判定の選択肢：正解（1点）／一部正解（0.5点）／不正解（0点）。黄色のセルを編集してください。</x:v>
      </x:c>
    </x:row>
    <x:row r="6">
      <x:c r="B6" t="str">
        <x:v>仮判定はAIによる一次評価です。元の回答と正解文を確認し、ご自身の判断で修正してください。</x:v>
      </x:c>
    </x:row>
    <x:row r="8" ht="32" customHeight="1">
      <x:c r="B8" s="3" t="str">
        <x:v>比較条件</x:v>
      </x:c>
      <x:c r="C8" s="3" t="str">
        <x:v>正解</x:v>
      </x:c>
      <x:c r="D8" s="3" t="str">
        <x:v>一部正解</x:v>
      </x:c>
      <x:c r="E8" s="3" t="str">
        <x:v>不正解</x:v>
      </x:c>
      <x:c r="F8" s="3" t="str">
        <x:v>加重点</x:v>
      </x:c>
      <x:c r="G8" s="3" t="str">
        <x:v>加重割合</x:v>
      </x:c>
    </x:row>
    <x:row r="9" ht="32" customHeight="1">
      <x:c r="B9" s="25" t="str">
        <x:v>学習前32bit</x:v>
      </x:c>
      <x:c r="C9" s="25" t="n">
        <x:f>COUNTIF('学習前32bit'!G4:G33,"正解")</x:f>
        <x:v>7</x:v>
      </x:c>
      <x:c r="D9" s="25" t="n">
        <x:f>COUNTIF('学習前32bit'!G4:G33,"一部正解")</x:f>
        <x:v>2</x:v>
      </x:c>
      <x:c r="E9" s="25" t="n">
        <x:f>COUNTIF('学習前32bit'!G4:G33,"不正解")</x:f>
        <x:v>21</x:v>
      </x:c>
      <x:c r="F9" s="26" t="n">
        <x:f>SUM('学習前32bit'!I4:I33)</x:f>
        <x:v>8</x:v>
      </x:c>
      <x:c r="G9" s="27" t="n">
        <x:f>F9/30</x:f>
        <x:v>0.26666666666666666</x:v>
      </x:c>
    </x:row>
    <x:row r="10" ht="32" customHeight="1">
      <x:c r="B10" s="25" t="str">
        <x:v>LoRA学習後</x:v>
      </x:c>
      <x:c r="C10" s="25" t="n">
        <x:f>COUNTIF('LoRA学習後'!G4:G33,"正解")</x:f>
        <x:v>4</x:v>
      </x:c>
      <x:c r="D10" s="25" t="n">
        <x:f>COUNTIF('LoRA学習後'!G4:G33,"一部正解")</x:f>
        <x:v>14</x:v>
      </x:c>
      <x:c r="E10" s="25" t="n">
        <x:f>COUNTIF('LoRA学習後'!G4:G33,"不正解")</x:f>
        <x:v>12</x:v>
      </x:c>
      <x:c r="F10" s="26" t="n">
        <x:f>SUM('LoRA学習後'!I4:I33)</x:f>
        <x:v>11</x:v>
      </x:c>
      <x:c r="G10" s="27" t="n">
        <x:f>F10/30</x:f>
        <x:v>0.36666666666666664</x:v>
      </x:c>
    </x:row>
    <x:row r="11" ht="32" customHeight="1">
      <x:c r="B11" s="25" t="str">
        <x:v>学習前4bit</x:v>
      </x:c>
      <x:c r="C11" s="25" t="n">
        <x:f>COUNTIF('学習前4bit'!G4:G33,"正解")</x:f>
        <x:v>3</x:v>
      </x:c>
      <x:c r="D11" s="25" t="n">
        <x:f>COUNTIF('学習前4bit'!G4:G33,"一部正解")</x:f>
        <x:v>6</x:v>
      </x:c>
      <x:c r="E11" s="25" t="n">
        <x:f>COUNTIF('学習前4bit'!G4:G33,"不正解")</x:f>
        <x:v>21</x:v>
      </x:c>
      <x:c r="F11" s="26" t="n">
        <x:f>SUM('学習前4bit'!I4:I33)</x:f>
        <x:v>6</x:v>
      </x:c>
      <x:c r="G11" s="27" t="n">
        <x:f>F11/30</x:f>
        <x:v>0.2</x:v>
      </x:c>
    </x:row>
    <x:row r="12" ht="32" customHeight="1">
      <x:c r="B12" s="25" t="str">
        <x:v>用語集検索</x:v>
      </x:c>
      <x:c r="C12" s="25" t="n">
        <x:f>COUNTIF('用語集検索'!G4:G33,"正解")</x:f>
        <x:v>30</x:v>
      </x:c>
      <x:c r="D12" s="25" t="n">
        <x:f>COUNTIF('用語集検索'!G4:G33,"一部正解")</x:f>
        <x:v>0</x:v>
      </x:c>
      <x:c r="E12" s="25" t="n">
        <x:f>COUNTIF('用語集検索'!G4:G33,"不正解")</x:f>
        <x:v>0</x:v>
      </x:c>
      <x:c r="F12" s="26" t="n">
        <x:f>SUM('用語集検索'!I4:I33)</x:f>
        <x:v>30</x:v>
      </x:c>
      <x:c r="G12" s="27" t="n">
        <x:f>F12/30</x:f>
        <x:v>1</x:v>
      </x:c>
    </x:row>
    <x:row r="15">
      <x:c r="B15" t="str">
        <x:v>元のJSONデータは各シートの「質問」「正解文」「モデルの回答」に保存しています。</x:v>
      </x:c>
    </x:row>
    <x:row r="16">
      <x:c r="B16" t="str">
        <x:v>「一部正解」は評価の境界が曖昧なため、優先的に確認することをおすすめします。</x:v>
      </x:c>
    </x:row>
    <x:row r="17">
      <x:c r="B17" t="str">
        <x:v>検索条件は学習済みモデルではなく、用語集の定義を直接取り出す辞書検索です。</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8" hidden="0" customWidth="1"/>
    <x:col min="2" max="2" width="22" hidden="0" customWidth="1"/>
    <x:col min="3" max="3" width="42" hidden="0" customWidth="1"/>
    <x:col min="4" max="4" width="72" hidden="0" customWidth="1"/>
    <x:col min="5" max="5" width="85" hidden="0" customWidth="1"/>
    <x:col min="6" max="6" width="16" hidden="0" customWidth="1"/>
    <x:col min="7" max="7" width="18" hidden="0" customWidth="1"/>
    <x:col min="8" max="8" width="39" hidden="0" customWidth="1"/>
    <x:col min="9" max="9" width="10" hidden="0" customWidth="1"/>
    <x:col min="10" max="10" width="16" hidden="0" customWidth="1"/>
  </x:cols>
  <x:sheetData>
    <x:row r="1">
      <x:c r="A1" s="4" t="str">
        <x:v>学習前32bit：回答別の採点確認</x:v>
      </x:c>
    </x:row>
    <x:row r="2">
      <x:c r="A2" t="str">
        <x:v>G列の黄色いセルは変更できます。F列の仮判定は固定して残します。</x:v>
      </x:c>
    </x:row>
    <x:row r="3" ht="32" customHeight="1">
      <x:c r="A3" s="6" t="str">
        <x:v>No.</x:v>
      </x:c>
      <x:c r="B3" s="6" t="str">
        <x:v>問題区分</x:v>
      </x:c>
      <x:c r="C3" s="6" t="str">
        <x:v>質問</x:v>
      </x:c>
      <x:c r="D3" s="6" t="str">
        <x:v>正解文</x:v>
      </x:c>
      <x:c r="E3" s="6" t="str">
        <x:v>モデルの回答</x:v>
      </x:c>
      <x:c r="F3" s="6" t="str">
        <x:v>仮判定</x:v>
      </x:c>
      <x:c r="G3" s="6" t="str">
        <x:v>確認後の判定</x:v>
      </x:c>
      <x:c r="H3" s="6" t="str">
        <x:v>仮判定の理由・確認メモ</x:v>
      </x:c>
      <x:c r="I3" s="6" t="str">
        <x:v>得点</x:v>
      </x:c>
      <x:c r="J3" s="6" t="str">
        <x:v>文字列類似度</x:v>
      </x:c>
    </x:row>
    <x:row r="4" ht="93" customHeight="1">
      <x:c r="A4" s="16" t="n">
        <x:v>1</x:v>
      </x:c>
      <x:c r="B4" s="17" t="str">
        <x:v>学習に使用した質問</x:v>
      </x:c>
      <x:c r="C4" s="17" t="str">
        <x:v>「ガードレール」とは何ですか？</x:v>
      </x:c>
      <x:c r="D4" s="17" t="str">
        <x:v>エージェントが望ましくない行動や出力をしないように設ける制約や検査。指示文でのルール、ツールの権限を絞る、出力をチェックする、重要な操作の前に人の確認を挟む、などの方法がある。</x:v>
      </x:c>
      <x:c r="E4" s="17" t="str">
        <x:v>**ガードレール**（ガードレール）は、主に**歩行者や車両の安全を確保するための安全装置**です。
この用語は、英語の「Guardrail」を日本語で訳したものです。その意味は、道路や歩道に設置された**金属製のフェンス**（またはコンクリート製のフェンス）であり、その役割は以下の通りです。
*   **衝突防止**: 歩行者や車両が衝突する際に、フェンスが衝突するのを防ぐため、設置されています。
*   **安全な通行**: 歩行者が歩道に踏む際に、歩行者が転倒するのを防ぐため、設置されています。
*   **視認性**: 歩行者が道路の境界線や危険な場所を認識し、安全に通行できるように設計されています。
一般的に、**「歩道ガードレール」**と呼ばれることが多いですが、道路の両側（車道と歩</x:v>
      </x:c>
      <x:c r="F4" s="18" t="str">
        <x:v>不正解</x:v>
      </x:c>
      <x:c r="G4" s="20" t="str">
        <x:v>不正解</x:v>
      </x:c>
      <x:c r="H4" s="17" t="str">
        <x:v>主旨が異なる、または誤情報・根拠のない断定</x:v>
      </x:c>
      <x:c r="I4" s="22" t="n">
        <x:f>IF(G4="正解",1,IF(G4="一部正解",0.5,IF(G4="不正解",0,"")))</x:f>
        <x:v>0</x:v>
      </x:c>
      <x:c r="J4" s="21" t="n">
        <x:v>0.077</x:v>
      </x:c>
    </x:row>
    <x:row r="5" ht="93" customHeight="1">
      <x:c r="A5" s="16" t="n">
        <x:v>2</x:v>
      </x:c>
      <x:c r="B5" s="17" t="str">
        <x:v>別の聞き方</x:v>
      </x:c>
      <x:c r="C5" s="17" t="str">
        <x:v>この講座でいう『ガードレール』の意味と要点を説明してください。</x:v>
      </x:c>
      <x:c r="D5" s="17" t="str">
        <x:v>エージェントが望ましくない行動や出力をしないように設ける制約や検査。指示文でのルール、ツールの権限を絞る、出力をチェックする、重要な操作の前に人の確認を挟む、などの方法がある。</x:v>
      </x:c>
      <x:c r="E5" s="17" t="str">
        <x:v>ご質問ありがとうございます。この講座で「ガードレール」という用語について、その**意味**と**要点**を整理しました。
### 1. 意味 (Definition)
**ガードレール**は、道路や歩行者の安全を確保するための**「ガード（ガードレール）」**という用語です。
*   **基本構造**: 道路の両側に設置される**「ガードレール」**（通常、長方形の金属板）です。
*   **主な役割**:
    *   **衝突防止**: 車両が衝突する前に、道路を「ガード（ガード）」する役割を果たします。
    *   **止止**: 衝突した際に、車両を停止させるための機能です。
    *   **安全の第一歩**: 交通事故の発生を未然に防ぐための重要な安全装置です。
### 2. 要点 (Key Points)
この講座で強調されている主なポイントをまとめました。</x:v>
      </x:c>
      <x:c r="F5" s="18" t="str">
        <x:v>不正解</x:v>
      </x:c>
      <x:c r="G5" s="20" t="str">
        <x:v>不正解</x:v>
      </x:c>
      <x:c r="H5" s="17" t="str">
        <x:v>主旨が異なる、または誤情報・根拠のない断定</x:v>
      </x:c>
      <x:c r="I5" s="22" t="n">
        <x:f>IF(G5="正解",1,IF(G5="一部正解",0.5,IF(G5="不正解",0,"")))</x:f>
        <x:v>0</x:v>
      </x:c>
      <x:c r="J5" s="21" t="n">
        <x:v>0.074</x:v>
      </x:c>
    </x:row>
    <x:row r="6" ht="93" customHeight="1">
      <x:c r="A6" s="16" t="n">
        <x:v>3</x:v>
      </x:c>
      <x:c r="B6" s="17" t="str">
        <x:v>学習に使用した質問</x:v>
      </x:c>
      <x:c r="C6" s="17" t="str">
        <x:v>「ファインチューニング」とは何ですか？</x:v>
      </x:c>
      <x:c r="D6"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6" s="17" t="str">
        <x:v>**ファインチューニング**（ファイン・チューニング）とは、主に**ソフトウェア**（特に Windows や macOS などの OS）や**ゲーム**において、ユーザーが操作した上で、より正確に動作し、快適に使用できる状態を指します。
この概念は、単に「修理」や「修正」ではなく、**「ユーザーの操作に基づいて最適化された状態」**を意味します。具体的には、以下の 3 つの要素が組み合わさっています。
1.  **ユーザーの操作**
    操作者が実際に何かを行った（例：キーを押した、画面を動かした、ファイルを開いたなど）。
2.  **操作結果**
    操作が実際に生じた状態（例：画面が正常に動く、音が正常に聞こえるなど）。
3.  **ファイン・チューニング**
    操作の結果をさらに改善し、さらにユーザーにとって**「より良い状態」**にする</x:v>
      </x:c>
      <x:c r="F6" s="18" t="str">
        <x:v>不正解</x:v>
      </x:c>
      <x:c r="G6" s="20" t="str">
        <x:v>不正解</x:v>
      </x:c>
      <x:c r="H6" s="17" t="str">
        <x:v>主旨が異なる、または誤情報・根拠のない断定</x:v>
      </x:c>
      <x:c r="I6" s="22" t="n">
        <x:f>IF(G6="正解",1,IF(G6="一部正解",0.5,IF(G6="不正解",0,"")))</x:f>
        <x:v>0</x:v>
      </x:c>
      <x:c r="J6" s="21" t="n">
        <x:v>0.048</x:v>
      </x:c>
    </x:row>
    <x:row r="7" ht="93" customHeight="1">
      <x:c r="A7" s="16" t="n">
        <x:v>4</x:v>
      </x:c>
      <x:c r="B7" s="17" t="str">
        <x:v>別の聞き方</x:v>
      </x:c>
      <x:c r="C7" s="17" t="str">
        <x:v>この講座でいう『ファインチューニング』の意味と要点を説明してください。</x:v>
      </x:c>
      <x:c r="D7"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7" s="17" t="str">
        <x:v>「ファインチューニング」とは、英語の **Fine Tuning** 語源から派生した、**「細かく調整する」**というニュアンスを込めた言葉です。
この言葉は、単に「修理」や「修正」を指すだけでなく、**「より良い状態に近づける」**というプロセスを意味します。特に、機械や電子機器、あるいは人間自身のスキルを指す場合、その状態が「完璧」ではなく「完璧に近い」状態であることを示唆しています。
この講座で「ファインチューニング」を説明する際、以下の 3 つの観点から解説します。
### 1. 意味の核心：「より良い状態に近づける」
最も本質的な意味は、**「完璧な状態」ではなく、「完璧に近い状態」**であることです。
*   **完璧**とは、常に 100% 達成されている状態です。
*   **ファインチュー</x:v>
      </x:c>
      <x:c r="F7" s="18" t="str">
        <x:v>不正解</x:v>
      </x:c>
      <x:c r="G7" s="20" t="str">
        <x:v>不正解</x:v>
      </x:c>
      <x:c r="H7" s="17" t="str">
        <x:v>主旨が異なる、または誤情報・根拠のない断定</x:v>
      </x:c>
      <x:c r="I7" s="22" t="n">
        <x:f>IF(G7="正解",1,IF(G7="一部正解",0.5,IF(G7="不正解",0,"")))</x:f>
        <x:v>0</x:v>
      </x:c>
      <x:c r="J7" s="21" t="n">
        <x:v>0.096</x:v>
      </x:c>
    </x:row>
    <x:row r="8" ht="93" customHeight="1">
      <x:c r="A8" s="16" t="n">
        <x:v>5</x:v>
      </x:c>
      <x:c r="B8" s="17" t="str">
        <x:v>学習に使用した質問</x:v>
      </x:c>
      <x:c r="C8" s="17" t="str">
        <x:v>「MCPサーバー」とは何ですか？</x:v>
      </x:c>
      <x:c r="D8"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8" s="17" t="str">
        <x:v>**MCP サーバー**（Machine Learning Platform Server）は、大規模 AI モデルを高速に学習・訓練するための**クラウド上のサーバー**のことです。
単に「サーバー」という言葉ではなく、MCP（Model Context Protocol）という技術の枠組みを基盤に構築された、AI 開発者や研究者が利用可能な**AI 学習プラットフォーム**です。
その特徴は以下の通りです。
### 1. 学習効率の向上
MCP サーバーは、従来の AI 学習環境（例えば、ローカル PC で手動でデータを準備し、GPU 上で計算する）と比べて、**データ処理速度が数倍に向上**します。
*   **データサイズ**: 従来の環境では数 GB〜数 TB 程度が必要でしたが、MCP サーバーでは数 KB〜数 MB 程度に縮小され、計算コストが大幅に削減されます。
*   **学習速度**: モデル</x:v>
      </x:c>
      <x:c r="F8" s="18" t="str">
        <x:v>不正解</x:v>
      </x:c>
      <x:c r="G8" s="20" t="str">
        <x:v>不正解</x:v>
      </x:c>
      <x:c r="H8" s="17" t="str">
        <x:v>主旨が異なる、または誤情報・根拠のない断定</x:v>
      </x:c>
      <x:c r="I8" s="22" t="n">
        <x:f>IF(G8="正解",1,IF(G8="一部正解",0.5,IF(G8="不正解",0,"")))</x:f>
        <x:v>0</x:v>
      </x:c>
      <x:c r="J8" s="21" t="n">
        <x:v>0.102</x:v>
      </x:c>
    </x:row>
    <x:row r="9" ht="93" customHeight="1">
      <x:c r="A9" s="16" t="n">
        <x:v>6</x:v>
      </x:c>
      <x:c r="B9" s="17" t="str">
        <x:v>別の聞き方</x:v>
      </x:c>
      <x:c r="C9" s="17" t="str">
        <x:v>この講座でいう『MCPサーバー』の意味と要点を説明してください。</x:v>
      </x:c>
      <x:c r="D9"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9" s="17" t="str">
        <x:v>「MCP サーバー」という用語は、主に**「MCP（Model Context Protocol）サーバー」**という、AI 技術者や開発者向けに公開されている、特定の AI モデル（モデル）を管理するためのサーバーです。
この概念は、従来の「モデルを個別に管理する」のではなく、**「モデル全体を一つのシステムとして管理・制御する」**という考え方に基づいています。
以下に、その意味と要点を詳しく解説します。
### 1. 基本的な意味
MCP サーバーとは、AI モデル（例えば、ChatGPT や Claude など）を「一つのシステム」として管理し、そのモデルの性能、安全性、そしてユーザーとの相互作用を統一的に制御するプラットフォームです。
従来のモデル管理では、各モデルを個別に設定し、そのモデルごとに個別の API を開き、それぞれが独立して動作する状態でした。一方、MCP サーバーでは、**「モデル全体を</x:v>
      </x:c>
      <x:c r="F9" s="18" t="str">
        <x:v>不正解</x:v>
      </x:c>
      <x:c r="G9" s="20" t="str">
        <x:v>不正解</x:v>
      </x:c>
      <x:c r="H9" s="17" t="str">
        <x:v>主旨が異なる、または誤情報・根拠のない断定</x:v>
      </x:c>
      <x:c r="I9" s="22" t="n">
        <x:f>IF(G9="正解",1,IF(G9="一部正解",0.5,IF(G9="不正解",0,"")))</x:f>
        <x:v>0</x:v>
      </x:c>
      <x:c r="J9" s="21" t="n">
        <x:v>0.112</x:v>
      </x:c>
    </x:row>
    <x:row r="10" ht="93" customHeight="1">
      <x:c r="A10" s="16" t="n">
        <x:v>7</x:v>
      </x:c>
      <x:c r="B10" s="17" t="str">
        <x:v>学習に使用した質問</x:v>
      </x:c>
      <x:c r="C10" s="17" t="str">
        <x:v>「環境変数」とは何ですか？</x:v>
      </x:c>
      <x:c r="D10" s="17" t="str">
        <x:v>プログラムの外側（OSや実行環境）で設定し、プログラムから名前で読み出せる値。APIキーのような秘密情報や、環境ごとに変わる設定をコードから切り離すために使う。</x:v>
      </x:c>
      <x:c r="E10" s="17" t="str">
        <x:v>**環境変数**（Environment Variables）とは、コンピュータやアプリケーションが起動する際に、システムに設定された**環境情報**のことです。
この情報は、プログラムが読み取り、実行時に利用するために、システムに直接書き込まれており、プログラム自体に直接記述されていないためです。
主な特徴と用途は以下の通りです。
*   **システム設定情報**: 特定のユーザーやアプリケーションに設定された情報です。
*   **利用可能な情報**: 環境変数に設定された情報（例：ユーザー名、パスワード、システム情報）を、プログラムが読み取り、実行時に利用します。
*   **設定方法**: 通常、システム設定画面（Windows: `设置` → `系統` → `環境変数`）から設定し、プログラム起動時に読み込まれます。
**代表的な環境変数の例**
*   `USERNAME`: ユーザー名
*   `PASSWORD`: パスワード
*</x:v>
      </x:c>
      <x:c r="F10" s="18" t="str">
        <x:v>正解</x:v>
      </x:c>
      <x:c r="G10" s="20" t="str">
        <x:v>正解</x:v>
      </x:c>
      <x:c r="H10" s="17" t="str">
        <x:v>主要な内容は正しいと判断</x:v>
      </x:c>
      <x:c r="I10" s="22" t="n">
        <x:f>IF(G10="正解",1,IF(G10="一部正解",0.5,IF(G10="不正解",0,"")))</x:f>
        <x:v>1</x:v>
      </x:c>
      <x:c r="J10" s="21" t="n">
        <x:v>0.109</x:v>
      </x:c>
    </x:row>
    <x:row r="11" ht="93" customHeight="1">
      <x:c r="A11" s="16" t="n">
        <x:v>8</x:v>
      </x:c>
      <x:c r="B11" s="17" t="str">
        <x:v>別の聞き方</x:v>
      </x:c>
      <x:c r="C11" s="17" t="str">
        <x:v>この講座でいう『環境変数』の意味と要点を説明してください。</x:v>
      </x:c>
      <x:c r="D11" s="17" t="str">
        <x:v>プログラムの外側（OSや実行環境）で設定し、プログラムから名前で読み出せる値。APIキーのような秘密情報や、環境ごとに変わる設定をコードから切り離すために使う。</x:v>
      </x:c>
      <x:c r="E11" s="17" t="str">
        <x:v>「環境変数」とは、**「環境」の「変数（パラメータ）」**という概念を指します。
単に「環境」を指すだけでなく、**「環境」そのものが「変数（パラメータ）」であること**を意味します。
この概念は、**「環境」が「変数（パラメータ）」であること**を意味します。
### 1. 意味の解説
*   **環境 (Environment)**: 物理的な環境（自然環境、社会環境など）を指します。
*   **変数 (Variable)**: 条件やパラメータ（例：温度、湿度、人口数、時間など）を指します。
*   **環境変数 (Environmental Variable)**: 環境という「変数」を指す言葉です。
つまり、この講座では「環境」を「変数」として扱うことで、**「環境」が「</x:v>
      </x:c>
      <x:c r="F11" s="18" t="str">
        <x:v>不正解</x:v>
      </x:c>
      <x:c r="G11" s="20" t="str">
        <x:v>不正解</x:v>
      </x:c>
      <x:c r="H11" s="17" t="str">
        <x:v>主旨が異なる、または誤情報・根拠のない断定</x:v>
      </x:c>
      <x:c r="I11" s="22" t="n">
        <x:f>IF(G11="正解",1,IF(G11="一部正解",0.5,IF(G11="不正解",0,"")))</x:f>
        <x:v>0</x:v>
      </x:c>
      <x:c r="J11" s="21" t="n">
        <x:v>0.042</x:v>
      </x:c>
    </x:row>
    <x:row r="12" ht="93" customHeight="1">
      <x:c r="A12" s="16" t="n">
        <x:v>9</x:v>
      </x:c>
      <x:c r="B12" s="17" t="str">
        <x:v>学習に使用した質問</x:v>
      </x:c>
      <x:c r="C12" s="17" t="str">
        <x:v>「fork」とは何ですか？</x:v>
      </x:c>
      <x:c r="D12" s="17" t="str">
        <x:v>他人のrepoを自分のアカウントに丸ごとコピーすること。本講座では講座repoをforkし、自分のfork上で作業・提出する。</x:v>
      </x:c>
      <x:c r="E12" s="17" t="str">
        <x:v>「fork」とは、**プログラミング言語の一種**です。
特に、**JavaScript**や**TypeScript**などの言語において、`fork` という関数やメソッドを指します。この関数は、現在のコードをコピーして新しいコードを生成し、その新しいコードを実行する機能です。
主な特徴と用途は以下の通りです：
*   **コードの複製**: 元のコードをコピーし、新しいコードを生成します。
*   **実行の分離**: 元のコードを保存し、新しいコードを独立して実行できます。
*   **開発の効率化**: 開発者同士で同じコードをコピーして、それぞれが独立したプロジェクトを作成し、互いに連携させることができます。
**例:**
```javascript
// 元のコード
const originalCode = `console.log("Original");`;
// fork 関数を使って、新しいコードを生成
const forkedCode = originalCode.fork</x:v>
      </x:c>
      <x:c r="F12" s="18" t="str">
        <x:v>不正解</x:v>
      </x:c>
      <x:c r="G12" s="20" t="str">
        <x:v>不正解</x:v>
      </x:c>
      <x:c r="H12" s="17" t="str">
        <x:v>主旨が異なる、または誤情報・根拠のない断定</x:v>
      </x:c>
      <x:c r="I12" s="22" t="n">
        <x:f>IF(G12="正解",1,IF(G12="一部正解",0.5,IF(G12="不正解",0,"")))</x:f>
        <x:v>0</x:v>
      </x:c>
      <x:c r="J12" s="21" t="n">
        <x:v>0.05</x:v>
      </x:c>
    </x:row>
    <x:row r="13" ht="93" customHeight="1">
      <x:c r="A13" s="16" t="n">
        <x:v>10</x:v>
      </x:c>
      <x:c r="B13" s="17" t="str">
        <x:v>別の聞き方</x:v>
      </x:c>
      <x:c r="C13" s="17" t="str">
        <x:v>この講座でいう『fork』の意味と要点を説明してください。</x:v>
      </x:c>
      <x:c r="D13" s="17" t="str">
        <x:v>他人のrepoを自分のアカウントに丸ごとコピーすること。本講座では講座repoをforkし、自分のfork上で作業・提出する。</x:v>
      </x:c>
      <x:c r="E13" s="17" t="str">
        <x:v>ご質問ありがとうございます。この講座で「fork」という言葉の意味と要点を解説します。
「fork」という言葉は、主に**ソフトウェア開発（特に C/C++ や Python など、プログラミング言語の言語設計）**、**金融市場の取引**、そして**社会システム**の分野で使われますが、最も一般的な意味は**「分岐点（分岐）」**です。
以下に、それぞれの主要な意味と要点を整理しました。
### 1. 言語設計における「fork」
最も一般的な意味は、**「分岐点（Branch Point）」**です。
*   **意味**: 言語のコードがどのように書き換えられるか、あるいはどのように実行されるかを決定する点。
*   **ポイント**:
    *   **言語の選択**: 特定の言語（例：C++、Java、Python）を選べば、その言語の特性（例：C++ のメモリ管理、Python の</x:v>
      </x:c>
      <x:c r="F13" s="18" t="str">
        <x:v>不正解</x:v>
      </x:c>
      <x:c r="G13" s="20" t="str">
        <x:v>不正解</x:v>
      </x:c>
      <x:c r="H13" s="17" t="str">
        <x:v>主旨が異なる、または誤情報・根拠のない断定</x:v>
      </x:c>
      <x:c r="I13" s="22" t="n">
        <x:f>IF(G13="正解",1,IF(G13="一部正解",0.5,IF(G13="不正解",0,"")))</x:f>
        <x:v>0</x:v>
      </x:c>
      <x:c r="J13" s="21" t="n">
        <x:v>0.085</x:v>
      </x:c>
    </x:row>
    <x:row r="14" ht="93" customHeight="1">
      <x:c r="A14" s="16" t="n">
        <x:v>11</x:v>
      </x:c>
      <x:c r="B14" s="17" t="str">
        <x:v>学習に使用した質問</x:v>
      </x:c>
      <x:c r="C14" s="17" t="str">
        <x:v>「コード補完」とは何ですか？</x:v>
      </x:c>
      <x:c r="D14" s="17" t="str">
        <x:v>書きかけのコードやコメントから、続きのコードをAIが提案する機能。Tabキーなどで受け入れる。提案は正しいとは限らないので、読んで理解してから採用する。</x:v>
      </x:c>
      <x:c r="E14" s="17" t="str">
        <x:v>**「コード補完」**（Code Completion）とは、プログラミング言語のコードを自動で生成し、ユーザーがそれをコピーして実行する機能です。
主な特徴と目的は以下の通りです。
*   **自動生成**: 特定の関数名、変数名、ロジック、または特定の文法構造を提示し、ユーザーがそれをコピーして実行します。
*   **コードの生成**: 入力された条件や文脈に基づいて、コードを自動的に作成します。
*   **ユーザーの負担の軽減**: 複雑なコードの作成や、特定のコードの修正を自動化することで、開発効率を向上させます。
一般的に、**「関数名」**や**「変数名」**を提示する形式で最も一般的ですが、特定の言語（例：Java、C#、Python など）によって表現方法や出力形式が異なります。</x:v>
      </x:c>
      <x:c r="F14" s="18" t="str">
        <x:v>一部正解</x:v>
      </x:c>
      <x:c r="G14" s="20" t="str">
        <x:v>一部正解</x:v>
      </x:c>
      <x:c r="H14" s="17" t="str">
        <x:v>重要な内容に不足・不正確な箇所あり</x:v>
      </x:c>
      <x:c r="I14" s="22" t="n">
        <x:f>IF(G14="正解",1,IF(G14="一部正解",0.5,IF(G14="不正解",0,"")))</x:f>
        <x:v>0.5</x:v>
      </x:c>
      <x:c r="J14" s="21" t="n">
        <x:v>0.115</x:v>
      </x:c>
    </x:row>
    <x:row r="15" ht="93" customHeight="1">
      <x:c r="A15" s="16" t="n">
        <x:v>12</x:v>
      </x:c>
      <x:c r="B15" s="17" t="str">
        <x:v>別の聞き方</x:v>
      </x:c>
      <x:c r="C15" s="17" t="str">
        <x:v>この講座でいう『コード補完』の意味と要点を説明してください。</x:v>
      </x:c>
      <x:c r="D15" s="17" t="str">
        <x:v>書きかけのコードやコメントから、続きのコードをAIが提案する機能。Tabキーなどで受け入れる。提案は正しいとは限らないので、読んで理解してから採用する。</x:v>
      </x:c>
      <x:c r="E15" s="17" t="str">
        <x:v>「コード補完」は、プログラミング言語（特に JavaScript や TypeScript など）において、**「あるコードの文脈や構造に基づいて、自動的に補完して生成する機能」**を指します。
この機能は、人間が手動で入力するのではなく、**「自動で生成する」**という点が特徴です。
以下に、この概念の具体的な意味と、その主なポイントとメリットを解説します。
### 1. 意味とポイントの解説
#### 意味
コード補完は、ユーザーが特定のコードブロック（例：`const x = 10;`）をコピーして貼り付ける際、そのブロックの**「場所（位置）」や「文脈（上下のコード）」**を考慮して、自動的に次の文や変数名を生成する仕組みです。
*   **自動補完**: 人間が手動で入力するのではなく、システムが自動で出力する。
*   **文</x:v>
      </x:c>
      <x:c r="F15" s="18" t="str">
        <x:v>正解</x:v>
      </x:c>
      <x:c r="G15" s="20" t="str">
        <x:v>正解</x:v>
      </x:c>
      <x:c r="H15" s="17" t="str">
        <x:v>主要な内容は正しいと判断</x:v>
      </x:c>
      <x:c r="I15" s="22" t="n">
        <x:f>IF(G15="正解",1,IF(G15="一部正解",0.5,IF(G15="不正解",0,"")))</x:f>
        <x:v>1</x:v>
      </x:c>
      <x:c r="J15" s="21" t="n">
        <x:v>0.101</x:v>
      </x:c>
    </x:row>
    <x:row r="16" ht="93" customHeight="1">
      <x:c r="A16" s="16" t="n">
        <x:v>13</x:v>
      </x:c>
      <x:c r="B16" s="17" t="str">
        <x:v>学習に使用した質問</x:v>
      </x:c>
      <x:c r="C16" s="17" t="str">
        <x:v>「MCPクライアント」とは何ですか？</x:v>
      </x:c>
      <x:c r="D16"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6" s="17" t="str">
        <x:v>**MCP（Model Context Protocol）** は、大規模 AI モデル（特に大規模言語モデル）と、それらを動かす「MCP クライアント」の通信を標準化するための規格です。
この用語は主に **Microsoft Azure AI** の製品やサービス（Azure AI Studio や Azure AI Agent など）で使用されています。以下にその核心を簡潔に説明します。
### 1. 基本定義
MCP クライアントとは、AI モデルを「理解」し、その情報を処理する**人間や機械**のことです。
一方、MCP は、AI モデルと人間（または機械）が通信するための**標準化された通信プロトコル**です。
### 2. 主な特徴
*   **通信の標準化**: 従来のテキストベースのチャットや、複雑な API 連携を統一した通信方式を提供します。
*   **モデルの活用**: 特定の AI</x:v>
      </x:c>
      <x:c r="F16" s="18" t="str">
        <x:v>不正解</x:v>
      </x:c>
      <x:c r="G16" s="20" t="str">
        <x:v>不正解</x:v>
      </x:c>
      <x:c r="H16" s="17" t="str">
        <x:v>主旨が異なる、または誤情報・根拠のない断定</x:v>
      </x:c>
      <x:c r="I16" s="22" t="n">
        <x:f>IF(G16="正解",1,IF(G16="一部正解",0.5,IF(G16="不正解",0,"")))</x:f>
        <x:v>0</x:v>
      </x:c>
      <x:c r="J16" s="21" t="n">
        <x:v>0.137</x:v>
      </x:c>
    </x:row>
    <x:row r="17" ht="93" customHeight="1">
      <x:c r="A17" s="16" t="n">
        <x:v>14</x:v>
      </x:c>
      <x:c r="B17" s="17" t="str">
        <x:v>別の聞き方</x:v>
      </x:c>
      <x:c r="C17" s="17" t="str">
        <x:v>この講座でいう『MCPクライアント』の意味と要点を説明してください。</x:v>
      </x:c>
      <x:c r="D17"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7" s="17" t="str">
        <x:v>MCP（Model Context Protocol）クライアントは、大規模 AI モデル（LLM）とユーザーの会話を通じて、**「ユーザーの文脈を理解し、その文脈に基づいて回答を生成する」**ことを指します。
単に「AI が回答する」だけでなく、**「なぜその回答なのか（理由）」**を伝えることで、ユーザーが AI の判断を信頼しやすくなります。
以下に、MCP クライアントの定義、主な特徴、そして具体的な使い方の要点を解説します。
---
### 1. MCP クライアントの定義
MCP クライアントとは、**「ユーザーのテキスト（文脈）をモデルに読み込み、その文脈に基づいて適切な回答を生成するエージェント」**です。
従来の AI には、ユーザーの意図を完全に理解し、その意図に応じた回答を返すことができませんでした。しかし、MCP クライアントは以下の 3 つの要素</x:v>
      </x:c>
      <x:c r="F17" s="18" t="str">
        <x:v>不正解</x:v>
      </x:c>
      <x:c r="G17" s="20" t="str">
        <x:v>不正解</x:v>
      </x:c>
      <x:c r="H17" s="17" t="str">
        <x:v>主旨が異なる、または誤情報・根拠のない断定</x:v>
      </x:c>
      <x:c r="I17" s="22" t="n">
        <x:f>IF(G17="正解",1,IF(G17="一部正解",0.5,IF(G17="不正解",0,"")))</x:f>
        <x:v>0</x:v>
      </x:c>
      <x:c r="J17" s="21" t="n">
        <x:v>0.12</x:v>
      </x:c>
    </x:row>
    <x:row r="18" ht="93" customHeight="1">
      <x:c r="A18" s="16" t="n">
        <x:v>15</x:v>
      </x:c>
      <x:c r="B18" s="17" t="str">
        <x:v>学習に使用した質問</x:v>
      </x:c>
      <x:c r="C18" s="17" t="str">
        <x:v>「ツールの名前空間」とは何ですか？</x:v>
      </x:c>
      <x:c r="D18"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8" s="17" t="str">
        <x:v>「ツールの名前空間」とは、**ソフトウェア開発において、特定のツールやサービスがどのように名付けられているかという、その名前の由来や意味を説明する仕組み**のことです。
この概念は主に以下の 3 つの観点から理解できます：
1.  **名前の由来（由来）**
    ツールがどのように名付けられたかについて、その名前の意味や背景を説明するものです。例えば、特定の機能や特徴がその名前の由来になっている場合、その意味を説明します。
    *   *例：「Google」は「Google」の由来。Google 検索機能の存在や、Google 社のロゴの由来などが説明されます。*
2.  **名前の意味（意味）**
    ツールがどのような機能を提供しているか、あるいはどのような価値を提供しているかについて、その名前の意味を説明するものです。
    *   *例：「Amazon」は「Amazon」の由来。</x:v>
      </x:c>
      <x:c r="F18" s="18" t="str">
        <x:v>不正解</x:v>
      </x:c>
      <x:c r="G18" s="20" t="str">
        <x:v>不正解</x:v>
      </x:c>
      <x:c r="H18" s="17" t="str">
        <x:v>主旨が異なる、または誤情報・根拠のない断定</x:v>
      </x:c>
      <x:c r="I18" s="22" t="n">
        <x:f>IF(G18="正解",1,IF(G18="一部正解",0.5,IF(G18="不正解",0,"")))</x:f>
        <x:v>0</x:v>
      </x:c>
      <x:c r="J18" s="21" t="n">
        <x:v>0.052</x:v>
      </x:c>
    </x:row>
    <x:row r="19" ht="93" customHeight="1">
      <x:c r="A19" s="16" t="n">
        <x:v>16</x:v>
      </x:c>
      <x:c r="B19" s="17" t="str">
        <x:v>別の聞き方</x:v>
      </x:c>
      <x:c r="C19" s="17" t="str">
        <x:v>この講座でいう『ツールの名前空間』の意味と要点を説明してください。</x:v>
      </x:c>
      <x:c r="D19"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9" s="17" t="str">
        <x:v>「ツールの名前空間」とは、ソフトウェア開発において**「なぜこのツールを使うのか」という根拠や理由**を、ユーザーや開発者にとって理解しやすいように整理した**名前（名前の由来や特徴）の集合体**を指します。
単に「ツール名」ではなく、そのツールが持つ**「価値」や「特性」**を共有することで、ユーザーがツールを選べば良いという**「理由の共有」**を目的としています。
以下に、この概念の**意味**と**主なポイント**を詳しく解説します。
---
### 1. 意味 (Meaning)
「ツール名空間」という言葉は、以下の 3 つの要素を統合したものです。
*   **ツール名 (Tool Name)**: ツールが実際に存在する名前（例：「Python」や「React」）。
*   **理由 (Reason)**: 名前が持つ**「なぜこのツールを使うのか</x:v>
      </x:c>
      <x:c r="F19" s="18" t="str">
        <x:v>不正解</x:v>
      </x:c>
      <x:c r="G19" s="20" t="str">
        <x:v>不正解</x:v>
      </x:c>
      <x:c r="H19" s="17" t="str">
        <x:v>主旨が異なる、または誤情報・根拠のない断定</x:v>
      </x:c>
      <x:c r="I19" s="22" t="n">
        <x:f>IF(G19="正解",1,IF(G19="一部正解",0.5,IF(G19="不正解",0,"")))</x:f>
        <x:v>0</x:v>
      </x:c>
      <x:c r="J19" s="21" t="n">
        <x:v>0.067</x:v>
      </x:c>
    </x:row>
    <x:row r="20" ht="93" customHeight="1">
      <x:c r="A20" s="16" t="n">
        <x:v>17</x:v>
      </x:c>
      <x:c r="B20" s="17" t="str">
        <x:v>学習に使用した質問</x:v>
      </x:c>
      <x:c r="C20" s="17" t="str">
        <x:v>「Hugging Face Hub」とは何ですか？</x:v>
      </x:c>
      <x:c r="D20" s="17" t="str">
        <x:v>公開されたモデルやデータセットを共有・ダウンロードできるプラットフォーム。オープンウェイトのモデルを入手したり、LoRAアダプタを公開したりするのに使われる。</x:v>
      </x:c>
      <x:c r="E20" s="17" t="str">
        <x:v>**Hugging Face Hub** は、**Hugging Face**（ハングリー・フェイス）という企業によって運営されている、**大規模言語モデル（LLM）のデータ、コード、およびトレーニングデータ**を公開・共有するためのプラットフォームです。
このプラットフォームは、AI 研究や開発者にとって非常に重要な役割を果たしており、主な特徴と機能は以下の通りです。
### 主な目的と機能
Hugging Face Hub は、AI 研究者や開発者が以下の目的で利用します：
1.  **モデルの公開と共有**
    *   大規模言語モデル（LLM）の出力結果、コード、データセットなどを公開して、他の研究者や企業に無料で利用できるようにします。
    *   例：特定の言語モデルのコードを公開し、他の開発者がそれを参照して新しいモデルを構築する。
2.  **データとコードの共有**
    *   研究データや開発用</x:v>
      </x:c>
      <x:c r="F20" s="18" t="str">
        <x:v>正解</x:v>
      </x:c>
      <x:c r="G20" s="20" t="str">
        <x:v>正解</x:v>
      </x:c>
      <x:c r="H20" s="17" t="str">
        <x:v>主要な内容は正しいと判断</x:v>
      </x:c>
      <x:c r="I20" s="22" t="n">
        <x:f>IF(G20="正解",1,IF(G20="一部正解",0.5,IF(G20="不正解",0,"")))</x:f>
        <x:v>1</x:v>
      </x:c>
      <x:c r="J20" s="21" t="n">
        <x:v>0.131</x:v>
      </x:c>
    </x:row>
    <x:row r="21" ht="93" customHeight="1">
      <x:c r="A21" s="16" t="n">
        <x:v>18</x:v>
      </x:c>
      <x:c r="B21" s="17" t="str">
        <x:v>別の聞き方</x:v>
      </x:c>
      <x:c r="C21" s="17" t="str">
        <x:v>この講座でいう『Hugging Face Hub』の意味と要点を説明してください。</x:v>
      </x:c>
      <x:c r="D21" s="17" t="str">
        <x:v>公開されたモデルやデータセットを共有・ダウンロードできるプラットフォーム。オープンウェイトのモデルを入手したり、LoRAアダプタを公開したりするのに使われる。</x:v>
      </x:c>
      <x:c r="E21" s="17" t="str">
        <x:v>Hugging Face Hub は、**「Hugging Face」の英語（Hugging Face）を日本語に訳した名称**です。
この名称は、Hugging Face のロゴのデザインやブランドイメージをそのまま反映しており、その意味は**「Hugging Face のロゴ」**です。
以下に、この名称の由来、主な意味、そしてその上で重要なポイントを解説します。
### 1. 名称の由来と意味
*   **Hugging Face**: Hugging Face の英語表記。
*   **Hub**: 英語の「ハブ（Hub）」を日本語に訳した。
*   **意味**: 「Hugging Face のロゴ」または「Hugging Face のハブ」。
*   **背景**: Hugging Face は、AI の開発者コミュニティとして非常に有名ですが、そのロゴやブランド名をそのまま日本語に訳したことで、その「Hugging Face」のイメージをそのまま伝えています。
###</x:v>
      </x:c>
      <x:c r="F21" s="18" t="str">
        <x:v>不正解</x:v>
      </x:c>
      <x:c r="G21" s="20" t="str">
        <x:v>不正解</x:v>
      </x:c>
      <x:c r="H21" s="17" t="str">
        <x:v>主旨が異なる、または誤情報・根拠のない断定</x:v>
      </x:c>
      <x:c r="I21" s="22" t="n">
        <x:f>IF(G21="正解",1,IF(G21="一部正解",0.5,IF(G21="不正解",0,"")))</x:f>
        <x:v>0</x:v>
      </x:c>
      <x:c r="J21" s="21" t="n">
        <x:v>0.038</x:v>
      </x:c>
    </x:row>
    <x:row r="22" ht="93" customHeight="1">
      <x:c r="A22" s="16" t="n">
        <x:v>19</x:v>
      </x:c>
      <x:c r="B22" s="17" t="str">
        <x:v>学習に使用した質問</x:v>
      </x:c>
      <x:c r="C22" s="17" t="str">
        <x:v>「GitHub Copilot」とは何ですか？</x:v>
      </x:c>
      <x:c r="D22" s="17" t="str">
        <x:v>GitHubのAIコーディング支援。エディタでのコード補完、チャットでの質問、エージェントモードでの複数ファイル編集などができる。無料のCopilot Freeは補完の回数とチャットの利用量に上限がある。</x:v>
      </x:c>
      <x:c r="E22" s="17" t="str">
        <x:v>**GitHub Copilot** は、GitHub のプラットフォーム上で開発者やエンジニアがコードを生成・修正・レビューする際に、**GitHub Copilot AI** という AI ツールのことを指します。
このツールは、GitHub のコードベースに埋め込まれており、以下の機能で開発者にとって非常に有用です。
*   **コード生成**: 特定のコードの構造や機能を実装する際に、自動的にコードを生成します。
*   **コード修正**: 既存のコードに誤りや不具合がある場合、自動で修正する機能があります。
*   **コードレビュー**: 開発者がコードをレビューし、AI が指摘した問題点を提示して修正する機能も提供しています。
*   **ドキュメント生成**: 特定のコードの文脈に基づいて、適切なドキュメントや説明を生成する機能もあります。
GitHub Copilot は、GitHub の「GitHub Copilot for Developers」を指し、GitHub の開発</x:v>
      </x:c>
      <x:c r="F22" s="18" t="str">
        <x:v>正解</x:v>
      </x:c>
      <x:c r="G22" s="20" t="str">
        <x:v>正解</x:v>
      </x:c>
      <x:c r="H22" s="17" t="str">
        <x:v>主要な内容は正しいと判断</x:v>
      </x:c>
      <x:c r="I22" s="22" t="n">
        <x:f>IF(G22="正解",1,IF(G22="一部正解",0.5,IF(G22="不正解",0,"")))</x:f>
        <x:v>1</x:v>
      </x:c>
      <x:c r="J22" s="21" t="n">
        <x:v>0.104</x:v>
      </x:c>
    </x:row>
    <x:row r="23" ht="93" customHeight="1">
      <x:c r="A23" s="16" t="n">
        <x:v>20</x:v>
      </x:c>
      <x:c r="B23" s="17" t="str">
        <x:v>別の聞き方</x:v>
      </x:c>
      <x:c r="C23" s="17" t="str">
        <x:v>この講座でいう『GitHub Copilot』の意味と要点を説明してください。</x:v>
      </x:c>
      <x:c r="D23" s="17" t="str">
        <x:v>GitHubのAIコーディング支援。エディタでのコード補完、チャットでの質問、エージェントモードでの複数ファイル編集などができる。無料のCopilot Freeは補完の回数とチャットの利用量に上限がある。</x:v>
      </x:c>
      <x:c r="E23" s="17" t="str">
        <x:v>**GitHub Copilot** は、GitHub のプラットフォーム上で、開発者やエンジニアがコードを生成・修正する際に、**「AI がコードの作成や修正を支援するツール」**を指します。
単に「AI によるコード生成」ではなく、GitHub の**「GitHub Copilot」**というサービス名で、GitHub の**「GitHub Copilot for Developers」**という機能（またはサービス）を指すことが多いです。
以下に、その意味と主なポイントを解説します。
### 1. 意味と基本機能
GitHub Copilot は、以下の 3 つの機能を組み合わせて提供します。
*   **コード生成 (Code Generation)**:
    *   特定のコードの構造や機能に基づいて、コードを自動で生成します。
    *   例：「この関数の `if` 条件は `if (x &gt; 0)` である必要があります」という指示に従って、正しいコードを生成します</x:v>
      </x:c>
      <x:c r="F23" s="18" t="str">
        <x:v>正解</x:v>
      </x:c>
      <x:c r="G23" s="20" t="str">
        <x:v>正解</x:v>
      </x:c>
      <x:c r="H23" s="17" t="str">
        <x:v>主要な内容は正しいと判断</x:v>
      </x:c>
      <x:c r="I23" s="22" t="n">
        <x:f>IF(G23="正解",1,IF(G23="一部正解",0.5,IF(G23="不正解",0,"")))</x:f>
        <x:v>1</x:v>
      </x:c>
      <x:c r="J23" s="21" t="n">
        <x:v>0.123</x:v>
      </x:c>
    </x:row>
    <x:row r="24" ht="93" customHeight="1">
      <x:c r="A24" s="16" t="n">
        <x:v>21</x:v>
      </x:c>
      <x:c r="B24" s="17" t="str">
        <x:v>学習していない用語</x:v>
      </x:c>
      <x:c r="C24" s="17" t="str">
        <x:v>「Codespaces secret」とは何ですか？</x:v>
      </x:c>
      <x:c r="D24" s="17" t="str">
        <x:v>GitHubのアカウント設定に登録しておく秘密の値。指定したrepoのCodespacesを起動すると環境変数として渡される。登録時に使うrepo（自分のfork）を選ぶ必要がある。起動中に登録した場合はCodespacesの再起動が必要。</x:v>
      </x:c>
      <x:c r="E24" s="17" t="str">
        <x:v>**「Codespaces secret」** は、GitHub の **Codespaces**（コードスペース）というプラットフォーム上で、開発者が使用する**暗号化された環境設定ファイル**のことです。
簡単に言うと、GitHub のコードスペースに「暗号化されたパスワード」を埋め込むことで、その環境が公開されていません。
### 主な特徴と仕組み
1.  **暗号化されたパスワード**
    *   Codespaces は、開発者が設定する環境のパスワードを、GitHub のサーバーに埋め込むことができます。
    *   これらのパスワードは、GitHub のサーバーに公開されません。そのため、外部からのアクセスや、他のユーザーがコードスペースにアクセスすることはできません。
2.  **セキュリティの強化**
    *   従来の Codespaces では、パスワードが公開されていたため、攻撃者がパスワードを盗むリスクがありました。
    *   Codespaces secret 機能により、このパスワードを隠し、開発者が安心してコードを</x:v>
      </x:c>
      <x:c r="F24" s="18" t="str">
        <x:v>一部正解</x:v>
      </x:c>
      <x:c r="G24" s="20" t="str">
        <x:v>一部正解</x:v>
      </x:c>
      <x:c r="H24" s="17" t="str">
        <x:v>重要な内容に不足・不正確な箇所あり</x:v>
      </x:c>
      <x:c r="I24" s="22" t="n">
        <x:f>IF(G24="正解",1,IF(G24="一部正解",0.5,IF(G24="不正解",0,"")))</x:f>
        <x:v>0.5</x:v>
      </x:c>
      <x:c r="J24" s="21" t="n">
        <x:v>0.082</x:v>
      </x:c>
    </x:row>
    <x:row r="25" ht="93" customHeight="1">
      <x:c r="A25" s="16" t="n">
        <x:v>22</x:v>
      </x:c>
      <x:c r="B25" s="17" t="str">
        <x:v>学習していない用語</x:v>
      </x:c>
      <x:c r="C25" s="17" t="str">
        <x:v>「ブランチ」とは何ですか？</x:v>
      </x:c>
      <x:c r="D25" s="17" t="str">
        <x:v>作業の流れを分けるための仕組み。main を壊さずに変更を試し、まとまったらPRで main に取り込む。本講座では回ごとに lec01 のような作業ブランチを作る。</x:v>
      </x:c>
      <x:c r="E25" s="17" t="str">
        <x:v>「ブランチ」は、**Git（バージョン管理システム）の概念**です。
簡単に言うと、**「自分の作業を別の場所へ分ける」**という行為を指します。
Git を使った場合、以下の手順でブランチを作成します。
1.  **新しい作業を開始する**（例：新しいファイルを作成し、その作業を保存する）。
2.  **その作業を別の場所へ移動する**（例：`git checkout` を使って別のディレクトリへ移動し、その作業を保存する）。
3.  **その作業を保存する**（例：`git add` を使って作業を保存する）。
4.  **ブランチを作成する**（例：`git branch` を使って新しい名前を付け、`git commit` を使って作業を保存する）。
**ブランチの主な目的と特徴**
*   **作業の分離**：複数の開発者が同時に作業を進</x:v>
      </x:c>
      <x:c r="F25" s="18" t="str">
        <x:v>正解</x:v>
      </x:c>
      <x:c r="G25" s="20" t="str">
        <x:v>正解</x:v>
      </x:c>
      <x:c r="H25" s="17" t="str">
        <x:v>主要な内容は正しいと判断</x:v>
      </x:c>
      <x:c r="I25" s="22" t="n">
        <x:f>IF(G25="正解",1,IF(G25="一部正解",0.5,IF(G25="不正解",0,"")))</x:f>
        <x:v>1</x:v>
      </x:c>
      <x:c r="J25" s="21" t="n">
        <x:v>0.086</x:v>
      </x:c>
    </x:row>
    <x:row r="26" ht="93" customHeight="1">
      <x:c r="A26" s="16" t="n">
        <x:v>23</x:v>
      </x:c>
      <x:c r="B26" s="17" t="str">
        <x:v>学習していない用語</x:v>
      </x:c>
      <x:c r="C26" s="17" t="str">
        <x:v>「宿題の3レベル」とは何ですか？</x:v>
      </x:c>
      <x:c r="D26" s="17" t="str">
        <x:v>AIE2026の宿題の構成。「基礎（講義内容の確認）」「実装（自分でコードを書く）」「発展（調査や試行）」の3段階があり、どれか1つに取り組めばその回の宿題は完了。原則として採点はしない。</x:v>
      </x:c>
      <x:c r="E26" s="17" t="str">
        <x:v>「宿題の 3 レベル」とは、**学習の進捗やレベルを 3 つの段階に分けて示す方法**です。これは、単一の目標を達成するだけでなく、段階的に進めていくプロセスや、達成した成果を評価する基準として使われることが多く、特に**「学習の進捗管理」**や**「学習成果の評価」**において非常に有用です。
一般的に、この 3 段階は以下のようになります。
### 1. 基本レベル（基礎的な学習）
このレベルは、学習の**基礎知識**や**基本概念**を掌握する段階です。
*   **内容**: 基本的な定義、公式、定理、用語の理解。
*   **目的**: 学習者が「何を学べばいいか」を明確にし、基礎を固める。
*   **特徴**: 難易度が最も低い段階であり、達成が容易です。
###</x:v>
      </x:c>
      <x:c r="F26" s="18" t="str">
        <x:v>不正解</x:v>
      </x:c>
      <x:c r="G26" s="20" t="str">
        <x:v>不正解</x:v>
      </x:c>
      <x:c r="H26" s="17" t="str">
        <x:v>主旨が異なる、または誤情報・根拠のない断定</x:v>
      </x:c>
      <x:c r="I26" s="22" t="n">
        <x:f>IF(G26="正解",1,IF(G26="一部正解",0.5,IF(G26="不正解",0,"")))</x:f>
        <x:v>0</x:v>
      </x:c>
      <x:c r="J26" s="21" t="n">
        <x:v>0.059</x:v>
      </x:c>
    </x:row>
    <x:row r="27" ht="93" customHeight="1">
      <x:c r="A27" s="16" t="n">
        <x:v>24</x:v>
      </x:c>
      <x:c r="B27" s="17" t="str">
        <x:v>学習していない用語</x:v>
      </x:c>
      <x:c r="C27" s="17" t="str">
        <x:v>「評価と改善のサイクル」とは何ですか？</x:v>
      </x:c>
      <x:c r="D27" s="17" t="str">
        <x:v>作る→測る→直すを繰り返す開発の進め方。AIアプリは出力が確率的に揺れるため、感覚ではなく評価データや指標で良し悪しを判断し、その結果をもとにプロンプト・データ・モデル・ツールを改善する。本講座では学習支援エージェントを題材に、回をまたいでこのサイクルを回す。</x:v>
      </x:c>
      <x:c r="E27" s="17" t="str">
        <x:v>「評価と改善のサイクル」とは、組織や個人が**成果を測り、それを基に改善策を策定し、継続的に向上させるプロセス**を指します。
このサイクルは、単なる「評価」ではなく、**「評価 → 改善 → 再評価」**という一連の連続的な行動を意味します。具体的には以下の 3 つのステップから構成されます。
### 1. 評価（評価と改善のサイクルの起点）
まず、目標達成した成果やパフォーマンスを測定します。
*   **結果の把握**: 売上、顧客満足度、生産量、パフォーマンスなどの指標を数値化します。
*   **原因の分析**: 結果が得られた原因を特定します（例：「顧客の要望が満たされていなかったため」）。
*   **改善策の立案**: 原因を解決するために、具体的なアクションプラン（改善策）を策定します。</x:v>
      </x:c>
      <x:c r="F27" s="18" t="str">
        <x:v>正解</x:v>
      </x:c>
      <x:c r="G27" s="20" t="str">
        <x:v>正解</x:v>
      </x:c>
      <x:c r="H27" s="17" t="str">
        <x:v>主要な内容は正しいと判断</x:v>
      </x:c>
      <x:c r="I27" s="22" t="n">
        <x:f>IF(G27="正解",1,IF(G27="一部正解",0.5,IF(G27="不正解",0,"")))</x:f>
        <x:v>1</x:v>
      </x:c>
      <x:c r="J27" s="21" t="n">
        <x:v>0.074</x:v>
      </x:c>
    </x:row>
    <x:row r="28" ht="93" customHeight="1">
      <x:c r="A28" s="16" t="n">
        <x:v>25</x:v>
      </x:c>
      <x:c r="B28" s="17" t="str">
        <x:v>学習していない用語</x:v>
      </x:c>
      <x:c r="C28" s="17" t="str">
        <x:v>「temperature」とは何ですか？</x:v>
      </x:c>
      <x:c r="D28" s="17" t="str">
        <x:v>次のトークンを選ぶときのランダムさを調整する設定値。低いほど出力が安定し、高いほど多様になる。同じ質問でも回答が変わる理由の一つ。</x:v>
      </x:c>
      <x:c r="E28" s="17" t="str">
        <x:v>「temperature」は、**温度**（熱の強さや状態）を意味します。
この言葉は英語の「temperature」の直訳で、主に以下の意味で使われます：
*   **物理的・化学的状態**: 物質の分子の運動や熱エネルギーの分布を表す。例：氷の温度（0°C）、水蒸気（100°C）、人体の体温（37°C）。
*   **気象・環境**: 気候や気圧の状態を表す。例：晴れ（clear）、雨（rain）、熱帯（hot）。
*   **ビジネス・マーケティング**: 商品やサービスの価格や価値を指す。例：高級車（luxury car）、高価なサービス（premium service）。
日本語では「温度」という言葉を使いますが、英語の「temperature」は「熱の強さ」や「状態」を指すため、日本語では「熱さ</x:v>
      </x:c>
      <x:c r="F28" s="18" t="str">
        <x:v>不正解</x:v>
      </x:c>
      <x:c r="G28" s="20" t="str">
        <x:v>不正解</x:v>
      </x:c>
      <x:c r="H28" s="17" t="str">
        <x:v>主旨が異なる、または誤情報・根拠のない断定</x:v>
      </x:c>
      <x:c r="I28" s="22" t="n">
        <x:f>IF(G28="正解",1,IF(G28="一部正解",0.5,IF(G28="不正解",0,"")))</x:f>
        <x:v>0</x:v>
      </x:c>
      <x:c r="J28" s="21" t="n">
        <x:v>0.052</x:v>
      </x:c>
    </x:row>
    <x:row r="29" ht="93" customHeight="1">
      <x:c r="A29" s="16" t="n">
        <x:v>26</x:v>
      </x:c>
      <x:c r="B29" s="17" t="str">
        <x:v>用語集にない架空語</x:v>
      </x:c>
      <x:c r="C29" s="17" t="str">
        <x:v>講座の用語集にある『架空のゼータ伝播法』とは何ですか？</x:v>
      </x:c>
      <x:c r="D29" s="17" t="str">
        <x:v>用語集に記載がありません。</x:v>
      </x:c>
      <x:c r="E29" s="17" t="str">
        <x:v>「架空のゼータ伝播法」という用語は、**物理学や工学における「ゼータ伝播法（Zeta-Potential Method）」とは異なる概念**です。
一般的に「ゼータ伝播法」と呼ばれるのは、**電磁気学や量子力学において、電磁波の伝播を「ゼータ関数（ゼータ関数）」という特殊な関数を用いて記述する手法**です。これは、電磁波の波長や波数、あるいは電磁波のエネルギーを、特定の「ゼータ関数」の値に比例させることで、理論的に導き出せるように設計された数学的枠組みです。
一方、「架空のゼータ伝播法」という名称は、**物理学や工学の分野では、実際に存在する「ゼータ伝播法」を架空して呼ぶ**という用法です。これは、特定の分野（例：量子力学、統計力学、あるいは</x:v>
      </x:c>
      <x:c r="F29" s="18" t="str">
        <x:v>不正解</x:v>
      </x:c>
      <x:c r="G29" s="20" t="str">
        <x:v>不正解</x:v>
      </x:c>
      <x:c r="H29" s="17" t="str">
        <x:v>主旨が異なる、または誤情報・根拠のない断定</x:v>
      </x:c>
      <x:c r="I29" s="22" t="n">
        <x:f>IF(G29="正解",1,IF(G29="一部正解",0.5,IF(G29="不正解",0,"")))</x:f>
        <x:v>0</x:v>
      </x:c>
      <x:c r="J29" s="21" t="n">
        <x:v>0.024</x:v>
      </x:c>
    </x:row>
    <x:row r="30" ht="93" customHeight="1">
      <x:c r="A30" s="16" t="n">
        <x:v>27</x:v>
      </x:c>
      <x:c r="B30" s="17" t="str">
        <x:v>用語集にない架空語</x:v>
      </x:c>
      <x:c r="C30" s="17" t="str">
        <x:v>講座の用語集にある『ミラージュ重み圧縮』とは何ですか？</x:v>
      </x:c>
      <x:c r="D30" s="17" t="str">
        <x:v>用語集に記載がありません。</x:v>
      </x:c>
      <x:c r="E30" s="17" t="str">
        <x:v>「ミラージュ重み圧縮」とは、**「ミラージュ（ミラー）」**という光学現象を「重み圧縮（重量圧縮）」という物理現象を組み合わせることで、**「ミラージュ重み圧縮」**という新しい光学現象を指します。
この現象は、単に鏡を反射するだけでなく、**「鏡の表面に重さや形状を刻印する」**という行為を「鏡の反射」に組み込むことで実現されます。
具体的には、以下の手順で実現されます。
1.  **ミラージュの準備**：
    鏡の表面に、特定の形状や重さの印（例えば、文字、数字、あるいは特定の幾何学的な模様）を刻印します。この印は、鏡の表面に「重さ」や「形状」を意味します。
2.  **重み圧縮の適用**：
    鏡の表面</x:v>
      </x:c>
      <x:c r="F30" s="18" t="str">
        <x:v>不正解</x:v>
      </x:c>
      <x:c r="G30" s="20" t="str">
        <x:v>不正解</x:v>
      </x:c>
      <x:c r="H30" s="17" t="str">
        <x:v>主旨が異なる、または誤情報・根拠のない断定</x:v>
      </x:c>
      <x:c r="I30" s="22" t="n">
        <x:f>IF(G30="正解",1,IF(G30="一部正解",0.5,IF(G30="不正解",0,"")))</x:f>
        <x:v>0</x:v>
      </x:c>
      <x:c r="J30" s="21" t="n">
        <x:v>0.012</x:v>
      </x:c>
    </x:row>
    <x:row r="31" ht="93" customHeight="1">
      <x:c r="A31" s="16" t="n">
        <x:v>28</x:v>
      </x:c>
      <x:c r="B31" s="17" t="str">
        <x:v>用語集にない架空語</x:v>
      </x:c>
      <x:c r="C31" s="17" t="str">
        <x:v>講座の用語集にある『仮想のオメガ評価器』とは何ですか？</x:v>
      </x:c>
      <x:c r="D31" s="17" t="str">
        <x:v>用語集に記載がありません。</x:v>
      </x:c>
      <x:c r="E31" s="17" t="str">
        <x:v>「仮想のオメガ評価器」とは、**「オメガ評価器（オメガ評価器）」の「仮想」を意味する**というものです。
この用語は、ゲームやソフトウェアにおける**「オメガ評価器（オメガ評価器）」**の概念を、**「仮想（Virtual）」**という表現で置き換えたものです。
具体的には、以下の意味合いを持ちます：
1.  **実体ではなく、仮想空間での評価**
    実際のゲームエンジンや評価システムにおいて、ゲームの性能や挙動を計算する際に、物理的な計算量やメモリ使用量などを考慮せずに、**「仮想（Virtual）」**の空間で計算を行うものです。
    *   例：ゲームが高速に動作するかどうかを判断する際、実際の CPU 速度やメモリ容量ではなく、仮想の「計算速度」や「仮想のメモリ容量」で判断する。
2.  **評価の抽象化</x:v>
      </x:c>
      <x:c r="F31" s="18" t="str">
        <x:v>不正解</x:v>
      </x:c>
      <x:c r="G31" s="20" t="str">
        <x:v>不正解</x:v>
      </x:c>
      <x:c r="H31" s="17" t="str">
        <x:v>主旨が異なる、または誤情報・根拠のない断定</x:v>
      </x:c>
      <x:c r="I31" s="22" t="n">
        <x:f>IF(G31="正解",1,IF(G31="一部正解",0.5,IF(G31="不正解",0,"")))</x:f>
        <x:v>0</x:v>
      </x:c>
      <x:c r="J31" s="21" t="n">
        <x:v>0.021</x:v>
      </x:c>
    </x:row>
    <x:row r="32" ht="93" customHeight="1">
      <x:c r="A32" s="16" t="n">
        <x:v>29</x:v>
      </x:c>
      <x:c r="B32" s="17" t="str">
        <x:v>用語集にない架空語</x:v>
      </x:c>
      <x:c r="C32" s="17" t="str">
        <x:v>講座の用語集にある『架空のルナ推論器』とは何ですか？</x:v>
      </x:c>
      <x:c r="D32" s="17" t="str">
        <x:v>用語集に記載がありません。</x:v>
      </x:c>
      <x:c r="E32" s="17" t="str">
        <x:v>「架空のルナ推論器」とは、**「ルナ（ルナ）」という概念を架空の物語や架空の科学理論として組み合わせて、その理論を推論する装置やシステム**を指します。
具体的には、以下の 3 つの要素が組み合わさったものです。
1.  **ルナ（ルナ）**：
    *   現実世界では「ルナ」は「ルナ・オブ・ザ・ルナ（ルナ・オブ・ザ・ルナ）」という架空の物語や架空の科学理論の名称として使われます。
    *   あるいは、特定の架空の科学理論（例：ルナ・オブ・ザ・ルナ、あるいは特定の架空の宇宙理論など）の名称として使われることもあります。
    *   最も一般的な解釈として、**「ルナ・オブ・ザ・ルナ」**という架空の科学理論そのものを指すことが多いです。</x:v>
      </x:c>
      <x:c r="F32" s="18" t="str">
        <x:v>不正解</x:v>
      </x:c>
      <x:c r="G32" s="20" t="str">
        <x:v>不正解</x:v>
      </x:c>
      <x:c r="H32" s="17" t="str">
        <x:v>主旨が異なる、または誤情報・根拠のない断定</x:v>
      </x:c>
      <x:c r="I32" s="22" t="n">
        <x:f>IF(G32="正解",1,IF(G32="一部正解",0.5,IF(G32="不正解",0,"")))</x:f>
        <x:v>0</x:v>
      </x:c>
      <x:c r="J32" s="21" t="n">
        <x:v>0.041</x:v>
      </x:c>
    </x:row>
    <x:row r="33" ht="93" customHeight="1">
      <x:c r="A33" s="16" t="n">
        <x:v>30</x:v>
      </x:c>
      <x:c r="B33" s="17" t="str">
        <x:v>用語集にない架空語</x:v>
      </x:c>
      <x:c r="C33" s="17" t="str">
        <x:v>講座の用語集にある『ネビュラ蒸留係数』とは何ですか？</x:v>
      </x:c>
      <x:c r="D33" s="17" t="str">
        <x:v>用語集に記載がありません。</x:v>
      </x:c>
      <x:c r="E33" s="17" t="str">
        <x:v>**ネビュラ蒸留係数**（Neuburg's Vapor-Liquid Equilibrium Coefficient, NVE）は、化学工学、特に**気相と液相の平衡状態**に関する重要な概念です。
この用語は、19 世紀のドイツ化学家**ネビュラ**（Neuburg）によって初めて正式に定義され、現在も化学工学の教科書や計算ツール（NVE 計算器など）で広く使われています。
その定義は以下の通りです。
### 定義
ネビュラ蒸留係数は、**気相（蒸気）と液相（液体）の平衡状態**において、**蒸気圧（気相の圧力）と蒸気圧の比**を表す係数です。
具体的には、以下の式で表されます。
$$
\text{ネビュラ蒸留係数} = \frac{P_{\text{</x:v>
      </x:c>
      <x:c r="F33" s="18" t="str">
        <x:v>不正解</x:v>
      </x:c>
      <x:c r="G33" s="20" t="str">
        <x:v>不正解</x:v>
      </x:c>
      <x:c r="H33" s="17" t="str">
        <x:v>主旨が異なる、または誤情報・根拠のない断定</x:v>
      </x:c>
      <x:c r="I33" s="22" t="n">
        <x:f>IF(G33="正解",1,IF(G33="一部正解",0.5,IF(G33="不正解",0,"")))</x:f>
        <x:v>0</x:v>
      </x:c>
      <x:c r="J33" s="21" t="n">
        <x:v>0.029</x:v>
      </x:c>
    </x:row>
  </x:sheetData>
  <x:dataValidations count="1">
    <x:dataValidation type="list" sqref="G4:G33">
      <x:formula1>"正解,一部正解,不正解"</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8" hidden="0" customWidth="1"/>
    <x:col min="2" max="2" width="22" hidden="0" customWidth="1"/>
    <x:col min="3" max="3" width="42" hidden="0" customWidth="1"/>
    <x:col min="4" max="4" width="72" hidden="0" customWidth="1"/>
    <x:col min="5" max="5" width="85" hidden="0" customWidth="1"/>
    <x:col min="6" max="6" width="16" hidden="0" customWidth="1"/>
    <x:col min="7" max="7" width="18" hidden="0" customWidth="1"/>
    <x:col min="8" max="8" width="39" hidden="0" customWidth="1"/>
    <x:col min="9" max="9" width="10" hidden="0" customWidth="1"/>
    <x:col min="10" max="10" width="16" hidden="0" customWidth="1"/>
  </x:cols>
  <x:sheetData>
    <x:row r="1">
      <x:c r="A1" s="4" t="str">
        <x:v>LoRA学習後：回答別の採点確認</x:v>
      </x:c>
    </x:row>
    <x:row r="2">
      <x:c r="A2" t="str">
        <x:v>G列の黄色いセルは変更できます。F列の仮判定は固定して残します。</x:v>
      </x:c>
    </x:row>
    <x:row r="3" ht="32" customHeight="1">
      <x:c r="A3" s="6" t="str">
        <x:v>No.</x:v>
      </x:c>
      <x:c r="B3" s="6" t="str">
        <x:v>問題区分</x:v>
      </x:c>
      <x:c r="C3" s="6" t="str">
        <x:v>質問</x:v>
      </x:c>
      <x:c r="D3" s="6" t="str">
        <x:v>正解文</x:v>
      </x:c>
      <x:c r="E3" s="6" t="str">
        <x:v>モデルの回答</x:v>
      </x:c>
      <x:c r="F3" s="6" t="str">
        <x:v>仮判定</x:v>
      </x:c>
      <x:c r="G3" s="6" t="str">
        <x:v>確認後の判定</x:v>
      </x:c>
      <x:c r="H3" s="6" t="str">
        <x:v>仮判定の理由・確認メモ</x:v>
      </x:c>
      <x:c r="I3" s="6" t="str">
        <x:v>得点</x:v>
      </x:c>
      <x:c r="J3" s="6" t="str">
        <x:v>文字列類似度</x:v>
      </x:c>
    </x:row>
    <x:row r="4" ht="93" customHeight="1">
      <x:c r="A4" s="16" t="n">
        <x:v>1</x:v>
      </x:c>
      <x:c r="B4" s="17" t="str">
        <x:v>学習に使用した質問</x:v>
      </x:c>
      <x:c r="C4" s="17" t="str">
        <x:v>「ガードレール」とは何ですか？</x:v>
      </x:c>
      <x:c r="D4" s="17" t="str">
        <x:v>エージェントが望ましくない行動や出力をしないように設ける制約や検査。指示文でのルール、ツールの権限を絞る、出力をチェックする、重要な操作の前に人の確認を挟む、などの方法がある。</x:v>
      </x:c>
      <x:c r="E4" s="17" t="str">
        <x:v>モデルの出力を特定の形式や内容に絞る仕組み。出力の形式を固定し、出力を許可しない範囲に置く。</x:v>
      </x:c>
      <x:c r="F4" s="18" t="str">
        <x:v>一部正解</x:v>
      </x:c>
      <x:c r="G4" s="20" t="str">
        <x:v>一部正解</x:v>
      </x:c>
      <x:c r="H4" s="17" t="str">
        <x:v>重要な内容に不足・不正確な箇所あり</x:v>
      </x:c>
      <x:c r="I4" s="22" t="n">
        <x:f>IF(G4="正解",1,IF(G4="一部正解",0.5,IF(G4="不正解",0,"")))</x:f>
        <x:v>0.5</x:v>
      </x:c>
      <x:c r="J4" s="21" t="n">
        <x:v>0.194</x:v>
      </x:c>
    </x:row>
    <x:row r="5" ht="93" customHeight="1">
      <x:c r="A5" s="16" t="n">
        <x:v>2</x:v>
      </x:c>
      <x:c r="B5" s="17" t="str">
        <x:v>別の聞き方</x:v>
      </x:c>
      <x:c r="C5" s="17" t="str">
        <x:v>この講座でいう『ガードレール』の意味と要点を説明してください。</x:v>
      </x:c>
      <x:c r="D5" s="17" t="str">
        <x:v>エージェントが望ましくない行動や出力をしないように設ける制約や検査。指示文でのルール、ツールの権限を絞る、出力をチェックする、重要な操作の前に人の確認を挟む、などの方法がある。</x:v>
      </x:c>
      <x:c r="E5" s="17" t="str">
        <x:v>学習データの読み込みや出力の前後に設定するチェックリスト。違反する場合は学習させない。本講座では「出力の形式を1文字ずつチェックする」のが例。</x:v>
      </x:c>
      <x:c r="F5" s="18" t="str">
        <x:v>一部正解</x:v>
      </x:c>
      <x:c r="G5" s="20" t="str">
        <x:v>一部正解</x:v>
      </x:c>
      <x:c r="H5" s="17" t="str">
        <x:v>重要な内容に不足・不正確な箇所あり</x:v>
      </x:c>
      <x:c r="I5" s="22" t="n">
        <x:f>IF(G5="正解",1,IF(G5="一部正解",0.5,IF(G5="不正解",0,"")))</x:f>
        <x:v>0.5</x:v>
      </x:c>
      <x:c r="J5" s="21" t="n">
        <x:v>0.264</x:v>
      </x:c>
    </x:row>
    <x:row r="6" ht="93" customHeight="1">
      <x:c r="A6" s="16" t="n">
        <x:v>3</x:v>
      </x:c>
      <x:c r="B6" s="17" t="str">
        <x:v>学習に使用した質問</x:v>
      </x:c>
      <x:c r="C6" s="17" t="str">
        <x:v>「ファインチューニング」とは何ですか？</x:v>
      </x:c>
      <x:c r="D6"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6" s="17" t="str">
        <x:v>モデルの出力を特定の用途や形式に合わせる作業。知識やルール、特定の文法、フォーマットなどをモデルに教える。大規模言語モデルはテキストを学習するのではなく、外部のデータ（ツールの出力、APIの結果、質問の形式など）をモデルに渡して、モデルがそのデータを解釈して出力を返す。</x:v>
      </x:c>
      <x:c r="F6" s="18" t="str">
        <x:v>一部正解</x:v>
      </x:c>
      <x:c r="G6" s="20" t="str">
        <x:v>一部正解</x:v>
      </x:c>
      <x:c r="H6" s="17" t="str">
        <x:v>重要な内容に不足・不正確な箇所あり</x:v>
      </x:c>
      <x:c r="I6" s="22" t="n">
        <x:f>IF(G6="正解",1,IF(G6="一部正解",0.5,IF(G6="不正解",0,"")))</x:f>
        <x:v>0.5</x:v>
      </x:c>
      <x:c r="J6" s="21" t="n">
        <x:v>0.278</x:v>
      </x:c>
    </x:row>
    <x:row r="7" ht="93" customHeight="1">
      <x:c r="A7" s="16" t="n">
        <x:v>4</x:v>
      </x:c>
      <x:c r="B7" s="17" t="str">
        <x:v>別の聞き方</x:v>
      </x:c>
      <x:c r="C7" s="17" t="str">
        <x:v>この講座でいう『ファインチューニング』の意味と要点を説明してください。</x:v>
      </x:c>
      <x:c r="D7"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7" s="17" t="str">
        <x:v>モデルの出力を特定の用途や形式に合わせる作業。テキストの書き方や質問形式、数値の精度、表情の選択など、モデルが学習していない領域を指定した入力で、モデルが学習した知識に合うように出力を調整する。</x:v>
      </x:c>
      <x:c r="F7" s="18" t="str">
        <x:v>一部正解</x:v>
      </x:c>
      <x:c r="G7" s="20" t="str">
        <x:v>一部正解</x:v>
      </x:c>
      <x:c r="H7" s="17" t="str">
        <x:v>重要な内容に不足・不正確な箇所あり</x:v>
      </x:c>
      <x:c r="I7" s="22" t="n">
        <x:f>IF(G7="正解",1,IF(G7="一部正解",0.5,IF(G7="不正解",0,"")))</x:f>
        <x:v>0.5</x:v>
      </x:c>
      <x:c r="J7" s="21" t="n">
        <x:v>0.234</x:v>
      </x:c>
    </x:row>
    <x:row r="8" ht="93" customHeight="1">
      <x:c r="A8" s="16" t="n">
        <x:v>5</x:v>
      </x:c>
      <x:c r="B8" s="17" t="str">
        <x:v>学習に使用した質問</x:v>
      </x:c>
      <x:c r="C8" s="17" t="str">
        <x:v>「MCPサーバー」とは何ですか？</x:v>
      </x:c>
      <x:c r="D8"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8" s="17" t="str">
        <x:v>MCP（Model Context Protocol）のサーバー。モデルの知識を共有し、外部ツールやAPIを呼び出す。Pydantic AIのMCPサーバーは、Pydantic AIのモデルをサーバーとして使う。</x:v>
      </x:c>
      <x:c r="F8" s="18" t="str">
        <x:v>一部正解</x:v>
      </x:c>
      <x:c r="G8" s="20" t="str">
        <x:v>一部正解</x:v>
      </x:c>
      <x:c r="H8" s="17" t="str">
        <x:v>重要な内容に不足・不正確な箇所あり</x:v>
      </x:c>
      <x:c r="I8" s="22" t="n">
        <x:f>IF(G8="正解",1,IF(G8="一部正解",0.5,IF(G8="不正解",0,"")))</x:f>
        <x:v>0.5</x:v>
      </x:c>
      <x:c r="J8" s="21" t="n">
        <x:v>0.18</x:v>
      </x:c>
    </x:row>
    <x:row r="9" ht="93" customHeight="1">
      <x:c r="A9" s="16" t="n">
        <x:v>6</x:v>
      </x:c>
      <x:c r="B9" s="17" t="str">
        <x:v>別の聞き方</x:v>
      </x:c>
      <x:c r="C9" s="17" t="str">
        <x:v>この講座でいう『MCPサーバー』の意味と要点を説明してください。</x:v>
      </x:c>
      <x:c r="D9"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9" s="17" t="str">
        <x:v>MCPサーバーとは、MCP（MCPエージェントのプラットフォーム）のAPIを呼び出すプログラム。クライアントがサーバーに接続し、サーバーからAPIを呼び出してツールを呼ぶ。本講座ではPydantic AIのMCPサーバーを扱う。</x:v>
      </x:c>
      <x:c r="F9" s="18" t="str">
        <x:v>一部正解</x:v>
      </x:c>
      <x:c r="G9" s="20" t="str">
        <x:v>一部正解</x:v>
      </x:c>
      <x:c r="H9" s="17" t="str">
        <x:v>重要な内容に不足・不正確な箇所あり</x:v>
      </x:c>
      <x:c r="I9" s="22" t="n">
        <x:f>IF(G9="正解",1,IF(G9="一部正解",0.5,IF(G9="不正解",0,"")))</x:f>
        <x:v>0.5</x:v>
      </x:c>
      <x:c r="J9" s="21" t="n">
        <x:v>0.105</x:v>
      </x:c>
    </x:row>
    <x:row r="10" ht="93" customHeight="1">
      <x:c r="A10" s="16" t="n">
        <x:v>7</x:v>
      </x:c>
      <x:c r="B10" s="17" t="str">
        <x:v>学習に使用した質問</x:v>
      </x:c>
      <x:c r="C10" s="17" t="str">
        <x:v>「環境変数」とは何ですか？</x:v>
      </x:c>
      <x:c r="D10" s="17" t="str">
        <x:v>プログラムの外側（OSや実行環境）で設定し、プログラムから名前で読み出せる値。APIキーのような秘密情報や、環境ごとに変わる設定をコードから切り離すために使う。</x:v>
      </x:c>
      <x:c r="E10" s="17" t="str">
        <x:v>プログラム起動時に読み込む設定ファイル。アプリの動作や出力に影響する。環境の値をファイルに書き込むと、他のプロセスでも同じ値に変わる。</x:v>
      </x:c>
      <x:c r="F10" s="18" t="str">
        <x:v>不正解</x:v>
      </x:c>
      <x:c r="G10" s="20" t="str">
        <x:v>不正解</x:v>
      </x:c>
      <x:c r="H10" s="17" t="str">
        <x:v>主旨が異なる、または誤情報・根拠のない断定</x:v>
      </x:c>
      <x:c r="I10" s="22" t="n">
        <x:f>IF(G10="正解",1,IF(G10="一部正解",0.5,IF(G10="不正解",0,"")))</x:f>
        <x:v>0</x:v>
      </x:c>
      <x:c r="J10" s="21" t="n">
        <x:v>0.245</x:v>
      </x:c>
    </x:row>
    <x:row r="11" ht="93" customHeight="1">
      <x:c r="A11" s="16" t="n">
        <x:v>8</x:v>
      </x:c>
      <x:c r="B11" s="17" t="str">
        <x:v>別の聞き方</x:v>
      </x:c>
      <x:c r="C11" s="17" t="str">
        <x:v>この講座でいう『環境変数』の意味と要点を説明してください。</x:v>
      </x:c>
      <x:c r="D11" s="17" t="str">
        <x:v>プログラムの外側（OSや実行環境）で設定し、プログラムから名前で読み出せる値。APIキーのような秘密情報や、環境ごとに変わる設定をコードから切り離すために使う。</x:v>
      </x:c>
      <x:c r="E11" s="17" t="str">
        <x:v>プログラムに渡す外部の設定ファイル。Pythonでは`.env`、Node.jsでは`.nvmrc`、Gitでは`.gitignore`。設定ファイルに書き換えても、プログラムはそれだけで読み込む。設定ファイルに書き換えても、プログラムはそれだけで読み込む。</x:v>
      </x:c>
      <x:c r="F11" s="18" t="str">
        <x:v>不正解</x:v>
      </x:c>
      <x:c r="G11" s="20" t="str">
        <x:v>不正解</x:v>
      </x:c>
      <x:c r="H11" s="17" t="str">
        <x:v>主旨が異なる、または誤情報・根拠のない断定</x:v>
      </x:c>
      <x:c r="I11" s="22" t="n">
        <x:f>IF(G11="正解",1,IF(G11="一部正解",0.5,IF(G11="不正解",0,"")))</x:f>
        <x:v>0</x:v>
      </x:c>
      <x:c r="J11" s="21" t="n">
        <x:v>0.211</x:v>
      </x:c>
    </x:row>
    <x:row r="12" ht="93" customHeight="1">
      <x:c r="A12" s="16" t="n">
        <x:v>9</x:v>
      </x:c>
      <x:c r="B12" s="17" t="str">
        <x:v>学習に使用した質問</x:v>
      </x:c>
      <x:c r="C12" s="17" t="str">
        <x:v>「fork」とは何ですか？</x:v>
      </x:c>
      <x:c r="D12" s="17" t="str">
        <x:v>他人のrepoを自分のアカウントに丸ごとコピーすること。本講座では講座repoをforkし、自分のfork上で作業・提出する。</x:v>
      </x:c>
      <x:c r="E12" s="17" t="str">
        <x:v>他社のrepoを自分のアカウントに引き継ぐこと。自分のforkで作業し、自分のbranchからrepoのmainへpushする。本講座ではforkを1回で複数repoに使う。</x:v>
      </x:c>
      <x:c r="F12" s="18" t="str">
        <x:v>一部正解</x:v>
      </x:c>
      <x:c r="G12" s="20" t="str">
        <x:v>一部正解</x:v>
      </x:c>
      <x:c r="H12" s="17" t="str">
        <x:v>重要な内容に不足・不正確な箇所あり</x:v>
      </x:c>
      <x:c r="I12" s="22" t="n">
        <x:f>IF(G12="正解",1,IF(G12="一部正解",0.5,IF(G12="不正解",0,"")))</x:f>
        <x:v>0.5</x:v>
      </x:c>
      <x:c r="J12" s="21" t="n">
        <x:v>0.427</x:v>
      </x:c>
    </x:row>
    <x:row r="13" ht="93" customHeight="1">
      <x:c r="A13" s="16" t="n">
        <x:v>10</x:v>
      </x:c>
      <x:c r="B13" s="17" t="str">
        <x:v>別の聞き方</x:v>
      </x:c>
      <x:c r="C13" s="17" t="str">
        <x:v>この講座でいう『fork』の意味と要点を説明してください。</x:v>
      </x:c>
      <x:c r="D13" s="17" t="str">
        <x:v>他人のrepoを自分のアカウントに丸ごとコピーすること。本講座では講座repoをforkし、自分のfork上で作業・提出する。</x:v>
      </x:c>
      <x:c r="E13" s="17" t="str">
        <x:v>自分のrepoを別のrepoに引き継ぐこと。自分のコードを別のアカウントのrepoにコピーし、そのrepoをforkする。本講座では自分のrepoをGitHubの「repo1」として、forkしたrepoを「repo2」として扱う。</x:v>
      </x:c>
      <x:c r="F13" s="18" t="str">
        <x:v>不正解</x:v>
      </x:c>
      <x:c r="G13" s="20" t="str">
        <x:v>不正解</x:v>
      </x:c>
      <x:c r="H13" s="17" t="str">
        <x:v>主旨が異なる、または誤情報・根拠のない断定</x:v>
      </x:c>
      <x:c r="I13" s="22" t="n">
        <x:f>IF(G13="正解",1,IF(G13="一部正解",0.5,IF(G13="不正解",0,"")))</x:f>
        <x:v>0</x:v>
      </x:c>
      <x:c r="J13" s="21" t="n">
        <x:v>0.391</x:v>
      </x:c>
    </x:row>
    <x:row r="14" ht="93" customHeight="1">
      <x:c r="A14" s="16" t="n">
        <x:v>11</x:v>
      </x:c>
      <x:c r="B14" s="17" t="str">
        <x:v>学習に使用した質問</x:v>
      </x:c>
      <x:c r="C14" s="17" t="str">
        <x:v>「コード補完」とは何ですか？</x:v>
      </x:c>
      <x:c r="D14" s="17" t="str">
        <x:v>書きかけのコードやコメントから、続きのコードをAIが提案する機能。Tabキーなどで受け入れる。提案は正しいとは限らないので、読んで理解してから採用する。</x:v>
      </x:c>
      <x:c r="E14" s="17" t="str">
        <x:v>入力したコードの末尾や関数名、引数の型などを自動で補う機能。Pythonでは「補完モード」で入力すると、関数の名前や引数の型が自動で補わる。</x:v>
      </x:c>
      <x:c r="F14" s="18" t="str">
        <x:v>正解</x:v>
      </x:c>
      <x:c r="G14" s="20" t="str">
        <x:v>正解</x:v>
      </x:c>
      <x:c r="H14" s="17" t="str">
        <x:v>主要な内容は正しいと判断</x:v>
      </x:c>
      <x:c r="I14" s="22" t="n">
        <x:f>IF(G14="正解",1,IF(G14="一部正解",0.5,IF(G14="不正解",0,"")))</x:f>
        <x:v>1</x:v>
      </x:c>
      <x:c r="J14" s="21" t="n">
        <x:v>0.192</x:v>
      </x:c>
    </x:row>
    <x:row r="15" ht="93" customHeight="1">
      <x:c r="A15" s="16" t="n">
        <x:v>12</x:v>
      </x:c>
      <x:c r="B15" s="17" t="str">
        <x:v>別の聞き方</x:v>
      </x:c>
      <x:c r="C15" s="17" t="str">
        <x:v>この講座でいう『コード補完』の意味と要点を説明してください。</x:v>
      </x:c>
      <x:c r="D15" s="17" t="str">
        <x:v>書きかけのコードやコメントから、続きのコードをAIが提案する機能。Tabキーなどで受け入れる。提案は正しいとは限らないので、読んで理解してから採用する。</x:v>
      </x:c>
      <x:c r="E15" s="17" t="str">
        <x:v>コードの読み方や名前、関数の引数の型、引数の数、引数の型と数、引数の型と文字列、引数の型とオブジェクト、引数の型と集合、引数の型とリスト、引数の型とオブジェクトの引数の数、引数の型とオブジェクトの引数の型、引数の型とオブジェクトの引数の型、引数の型とオブジェクトの引数の型、引数の型とオブジェクトの引数の型、引数の型とオブジェクトの引数の型、引数の型とオブジェクトの引数の型、引数の型とオブジェクトの引数の型、引数の型とオブジェクトの引数の型、引数の型とオブジェクトの引数の型、引数の型とオブジェクトの引数の型、引数の型とオブジェクトの引数の型、引数の型とオブジェクトの引数の型、引数の型とオブジェクトの引</x:v>
      </x:c>
      <x:c r="F15" s="18" t="str">
        <x:v>不正解</x:v>
      </x:c>
      <x:c r="G15" s="20" t="str">
        <x:v>不正解</x:v>
      </x:c>
      <x:c r="H15" s="17" t="str">
        <x:v>主旨が異なる、または誤情報・根拠のない断定</x:v>
      </x:c>
      <x:c r="I15" s="22" t="n">
        <x:f>IF(G15="正解",1,IF(G15="一部正解",0.5,IF(G15="不正解",0,"")))</x:f>
        <x:v>0</x:v>
      </x:c>
      <x:c r="J15" s="21" t="n">
        <x:v>0.026</x:v>
      </x:c>
    </x:row>
    <x:row r="16" ht="93" customHeight="1">
      <x:c r="A16" s="16" t="n">
        <x:v>13</x:v>
      </x:c>
      <x:c r="B16" s="17" t="str">
        <x:v>学習に使用した質問</x:v>
      </x:c>
      <x:c r="C16" s="17" t="str">
        <x:v>「MCPクライアント」とは何ですか？</x:v>
      </x:c>
      <x:c r="D16"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6" s="17" t="str">
        <x:v>MCPサーバーからアクセスできるツールや機能の集合体。Pydantic AIのMCPサーバーは、Pydantic AIのクライアント（Pydantic AI MCP Client）と同一のクラス。</x:v>
      </x:c>
      <x:c r="F16" s="18" t="str">
        <x:v>不正解</x:v>
      </x:c>
      <x:c r="G16" s="20" t="str">
        <x:v>不正解</x:v>
      </x:c>
      <x:c r="H16" s="17" t="str">
        <x:v>主旨が異なる、または誤情報・根拠のない断定</x:v>
      </x:c>
      <x:c r="I16" s="22" t="n">
        <x:f>IF(G16="正解",1,IF(G16="一部正解",0.5,IF(G16="不正解",0,"")))</x:f>
        <x:v>0</x:v>
      </x:c>
      <x:c r="J16" s="21" t="n">
        <x:v>0.32</x:v>
      </x:c>
    </x:row>
    <x:row r="17" ht="93" customHeight="1">
      <x:c r="A17" s="16" t="n">
        <x:v>14</x:v>
      </x:c>
      <x:c r="B17" s="17" t="str">
        <x:v>別の聞き方</x:v>
      </x:c>
      <x:c r="C17" s="17" t="str">
        <x:v>この講座でいう『MCPクライアント』の意味と要点を説明してください。</x:v>
      </x:c>
      <x:c r="D17"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7" s="17" t="str">
        <x:v>MCPサーバーからアクセスできるツールやアプリの集合名。同じサーバーの複数のアプリを1つの名前で表し、サーバーに接続してツールを呼ぶ。Pydantic AIのMCPサーバーはmcp-server-mcpとして知られる。</x:v>
      </x:c>
      <x:c r="F17" s="18" t="str">
        <x:v>一部正解</x:v>
      </x:c>
      <x:c r="G17" s="20" t="str">
        <x:v>一部正解</x:v>
      </x:c>
      <x:c r="H17" s="17" t="str">
        <x:v>重要な内容に不足・不正確な箇所あり</x:v>
      </x:c>
      <x:c r="I17" s="22" t="n">
        <x:f>IF(G17="正解",1,IF(G17="一部正解",0.5,IF(G17="不正解",0,"")))</x:f>
        <x:v>0.5</x:v>
      </x:c>
      <x:c r="J17" s="21" t="n">
        <x:v>0.286</x:v>
      </x:c>
    </x:row>
    <x:row r="18" ht="93" customHeight="1">
      <x:c r="A18" s="16" t="n">
        <x:v>15</x:v>
      </x:c>
      <x:c r="B18" s="17" t="str">
        <x:v>学習に使用した質問</x:v>
      </x:c>
      <x:c r="C18" s="17" t="str">
        <x:v>「ツールの名前空間」とは何ですか？</x:v>
      </x:c>
      <x:c r="D18"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8" s="17" t="str">
        <x:v>同じ機能の異なる名前（例：ファイル操作の「read.txt」vs「read_file.txt」）を区別するために使う名前空間。同じ名前空間で呼び出すと、同じ結果を返す。</x:v>
      </x:c>
      <x:c r="F18" s="18" t="str">
        <x:v>一部正解</x:v>
      </x:c>
      <x:c r="G18" s="20" t="str">
        <x:v>一部正解</x:v>
      </x:c>
      <x:c r="H18" s="17" t="str">
        <x:v>重要な内容に不足・不正確な箇所あり</x:v>
      </x:c>
      <x:c r="I18" s="22" t="n">
        <x:f>IF(G18="正解",1,IF(G18="一部正解",0.5,IF(G18="不正解",0,"")))</x:f>
        <x:v>0.5</x:v>
      </x:c>
      <x:c r="J18" s="21" t="n">
        <x:v>0.126</x:v>
      </x:c>
    </x:row>
    <x:row r="19" ht="93" customHeight="1">
      <x:c r="A19" s="16" t="n">
        <x:v>16</x:v>
      </x:c>
      <x:c r="B19" s="17" t="str">
        <x:v>別の聞き方</x:v>
      </x:c>
      <x:c r="C19" s="17" t="str">
        <x:v>この講座でいう『ツールの名前空間』の意味と要点を説明してください。</x:v>
      </x:c>
      <x:c r="D19"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9" s="17" t="str">
        <x:v>ツールを区別するために、同じ機能の異なる名前（例：ファイル操作、ファイルの読み込み、ファイルの書き込み）を同じ名前空間にまとめること。同じ名前空間のツールは同じ名前で呼ばれ、異なる名前空間のツールは別名で呼ばれる。</x:v>
      </x:c>
      <x:c r="F19" s="18" t="str">
        <x:v>一部正解</x:v>
      </x:c>
      <x:c r="G19" s="20" t="str">
        <x:v>一部正解</x:v>
      </x:c>
      <x:c r="H19" s="17" t="str">
        <x:v>重要な内容に不足・不正確な箇所あり</x:v>
      </x:c>
      <x:c r="I19" s="22" t="n">
        <x:f>IF(G19="正解",1,IF(G19="一部正解",0.5,IF(G19="不正解",0,"")))</x:f>
        <x:v>0.5</x:v>
      </x:c>
      <x:c r="J19" s="21" t="n">
        <x:v>0.117</x:v>
      </x:c>
    </x:row>
    <x:row r="20" ht="93" customHeight="1">
      <x:c r="A20" s="16" t="n">
        <x:v>17</x:v>
      </x:c>
      <x:c r="B20" s="17" t="str">
        <x:v>学習に使用した質問</x:v>
      </x:c>
      <x:c r="C20" s="17" t="str">
        <x:v>「Hugging Face Hub」とは何ですか？</x:v>
      </x:c>
      <x:c r="D20" s="17" t="str">
        <x:v>公開されたモデルやデータセットを共有・ダウンロードできるプラットフォーム。オープンウェイトのモデルを入手したり、LoRAアダプタを公開したりするのに使われる。</x:v>
      </x:c>
      <x:c r="E20" s="17" t="str">
        <x:v>モデルの公開・共有・ダウンロード・投稿・レビュー・表彰のプラットフォーム。GitHubに接続し、repo名をURLの末尾に付けることで公開できる。</x:v>
      </x:c>
      <x:c r="F20" s="18" t="str">
        <x:v>一部正解</x:v>
      </x:c>
      <x:c r="G20" s="20" t="str">
        <x:v>一部正解</x:v>
      </x:c>
      <x:c r="H20" s="17" t="str">
        <x:v>重要な内容に不足・不正確な箇所あり</x:v>
      </x:c>
      <x:c r="I20" s="22" t="n">
        <x:f>IF(G20="正解",1,IF(G20="一部正解",0.5,IF(G20="不正解",0,"")))</x:f>
        <x:v>0.5</x:v>
      </x:c>
      <x:c r="J20" s="21" t="n">
        <x:v>0.382</x:v>
      </x:c>
    </x:row>
    <x:row r="21" ht="93" customHeight="1">
      <x:c r="A21" s="16" t="n">
        <x:v>18</x:v>
      </x:c>
      <x:c r="B21" s="17" t="str">
        <x:v>別の聞き方</x:v>
      </x:c>
      <x:c r="C21" s="17" t="str">
        <x:v>この講座でいう『Hugging Face Hub』の意味と要点を説明してください。</x:v>
      </x:c>
      <x:c r="D21" s="17" t="str">
        <x:v>公開されたモデルやデータセットを共有・ダウンロードできるプラットフォーム。オープンウェイトのモデルを入手したり、LoRAアダプタを公開したりするのに使われる。</x:v>
      </x:c>
      <x:c r="E21" s="17" t="str">
        <x:v>公開されたモデルやデータセットを共有・検索・ダウンロードできるプラットフォーム。GitHubのrepoより名前を付けて、自分のアカウントで公開し、他者のコードやデータで学習できる。</x:v>
      </x:c>
      <x:c r="F21" s="18" t="str">
        <x:v>正解</x:v>
      </x:c>
      <x:c r="G21" s="20" t="str">
        <x:v>正解</x:v>
      </x:c>
      <x:c r="H21" s="17" t="str">
        <x:v>主要な内容は正しいと判断</x:v>
      </x:c>
      <x:c r="I21" s="22" t="n">
        <x:f>IF(G21="正解",1,IF(G21="一部正解",0.5,IF(G21="不正解",0,"")))</x:f>
        <x:v>1</x:v>
      </x:c>
      <x:c r="J21" s="21" t="n">
        <x:v>0.544</x:v>
      </x:c>
    </x:row>
    <x:row r="22" ht="93" customHeight="1">
      <x:c r="A22" s="16" t="n">
        <x:v>19</x:v>
      </x:c>
      <x:c r="B22" s="17" t="str">
        <x:v>学習に使用した質問</x:v>
      </x:c>
      <x:c r="C22" s="17" t="str">
        <x:v>「GitHub Copilot」とは何ですか？</x:v>
      </x:c>
      <x:c r="D22" s="17" t="str">
        <x:v>GitHubのAIコーディング支援。エディタでのコード補完、チャットでの質問、エージェントモードでの複数ファイル編集などができる。無料のCopilot Freeは補完の回数とチャットの利用量に上限がある。</x:v>
      </x:c>
      <x:c r="E22" s="17" t="str">
        <x:v>GitHubのAIアシスタント。コードの補完、ファイルの編集、コードレビュー、ツールの使ったままの追加などができる。無料枠では出力の長さや追加のコードの数に制限がある。</x:v>
      </x:c>
      <x:c r="F22" s="18" t="str">
        <x:v>正解</x:v>
      </x:c>
      <x:c r="G22" s="20" t="str">
        <x:v>正解</x:v>
      </x:c>
      <x:c r="H22" s="17" t="str">
        <x:v>主要な内容は正しいと判断</x:v>
      </x:c>
      <x:c r="I22" s="22" t="n">
        <x:f>IF(G22="正解",1,IF(G22="一部正解",0.5,IF(G22="不正解",0,"")))</x:f>
        <x:v>1</x:v>
      </x:c>
      <x:c r="J22" s="21" t="n">
        <x:v>0.43</x:v>
      </x:c>
    </x:row>
    <x:row r="23" ht="93" customHeight="1">
      <x:c r="A23" s="16" t="n">
        <x:v>20</x:v>
      </x:c>
      <x:c r="B23" s="17" t="str">
        <x:v>別の聞き方</x:v>
      </x:c>
      <x:c r="C23" s="17" t="str">
        <x:v>この講座でいう『GitHub Copilot』の意味と要点を説明してください。</x:v>
      </x:c>
      <x:c r="D23" s="17" t="str">
        <x:v>GitHubのAIコーディング支援。エディタでのコード補完、チャットでの質問、エージェントモードでの複数ファイル編集などができる。無料のCopilot Freeは補完の回数とチャットの利用量に上限がある。</x:v>
      </x:c>
      <x:c r="E23" s="17" t="str">
        <x:v>Claude CodeのCopilot機能。コード入力・編集・自動補完・ツールの呼び出しなど、Claude DesktopのCopilotとほぼ同じ機能。有料プラン（Copilot Pro）で使える。</x:v>
      </x:c>
      <x:c r="F23" s="18" t="str">
        <x:v>不正解</x:v>
      </x:c>
      <x:c r="G23" s="20" t="str">
        <x:v>不正解</x:v>
      </x:c>
      <x:c r="H23" s="17" t="str">
        <x:v>主旨が異なる、または誤情報・根拠のない断定</x:v>
      </x:c>
      <x:c r="I23" s="22" t="n">
        <x:f>IF(G23="正解",1,IF(G23="一部正解",0.5,IF(G23="不正解",0,"")))</x:f>
        <x:v>0</x:v>
      </x:c>
      <x:c r="J23" s="21" t="n">
        <x:v>0.149</x:v>
      </x:c>
    </x:row>
    <x:row r="24" ht="93" customHeight="1">
      <x:c r="A24" s="16" t="n">
        <x:v>21</x:v>
      </x:c>
      <x:c r="B24" s="17" t="str">
        <x:v>学習していない用語</x:v>
      </x:c>
      <x:c r="C24" s="17" t="str">
        <x:v>「Codespaces secret」とは何ですか？</x:v>
      </x:c>
      <x:c r="D24" s="17" t="str">
        <x:v>GitHubのアカウント設定に登録しておく秘密の値。指定したrepoのCodespacesを起動すると環境変数として渡される。登録時に使うrepo（自分のfork）を選ぶ必要がある。起動中に登録した場合はCodespacesの再起動が必要。</x:v>
      </x:c>
      <x:c r="E24" s="17" t="str">
        <x:v>GitHubのコード倉庫に設定する秘密情報。環境変数やファイルに書き込む前に、設定ファイル（.env）やファイルに直接書込む前に、この設定を公開する前に公開する。公開すると誰でも読む、書き込む、実行できる。</x:v>
      </x:c>
      <x:c r="F24" s="18" t="str">
        <x:v>一部正解</x:v>
      </x:c>
      <x:c r="G24" s="20" t="str">
        <x:v>一部正解</x:v>
      </x:c>
      <x:c r="H24" s="17" t="str">
        <x:v>重要な内容に不足・不正確な箇所あり</x:v>
      </x:c>
      <x:c r="I24" s="22" t="n">
        <x:f>IF(G24="正解",1,IF(G24="一部正解",0.5,IF(G24="不正解",0,"")))</x:f>
        <x:v>0.5</x:v>
      </x:c>
      <x:c r="J24" s="21" t="n">
        <x:v>0.17</x:v>
      </x:c>
    </x:row>
    <x:row r="25" ht="93" customHeight="1">
      <x:c r="A25" s="16" t="n">
        <x:v>22</x:v>
      </x:c>
      <x:c r="B25" s="17" t="str">
        <x:v>学習していない用語</x:v>
      </x:c>
      <x:c r="C25" s="17" t="str">
        <x:v>「ブランチ」とは何ですか？</x:v>
      </x:c>
      <x:c r="D25" s="17" t="str">
        <x:v>作業の流れを分けるための仕組み。main を壊さずに変更を試し、まとまったらPRで main に取り込む。本講座では回ごとに lec01 のような作業ブランチを作る。</x:v>
      </x:c>
      <x:c r="E25" s="17" t="str">
        <x:v>複数のコードの場所を1つのメインブランチから分岐させること。変更をメインブランチで作業し、他ブランチで共有する。</x:v>
      </x:c>
      <x:c r="F25" s="18" t="str">
        <x:v>一部正解</x:v>
      </x:c>
      <x:c r="G25" s="20" t="str">
        <x:v>一部正解</x:v>
      </x:c>
      <x:c r="H25" s="17" t="str">
        <x:v>重要な内容に不足・不正確な箇所あり</x:v>
      </x:c>
      <x:c r="I25" s="22" t="n">
        <x:f>IF(G25="正解",1,IF(G25="一部正解",0.5,IF(G25="不正解",0,"")))</x:f>
        <x:v>0.5</x:v>
      </x:c>
      <x:c r="J25" s="21" t="n">
        <x:v>0.187</x:v>
      </x:c>
    </x:row>
    <x:row r="26" ht="93" customHeight="1">
      <x:c r="A26" s="16" t="n">
        <x:v>23</x:v>
      </x:c>
      <x:c r="B26" s="17" t="str">
        <x:v>学習していない用語</x:v>
      </x:c>
      <x:c r="C26" s="17" t="str">
        <x:v>「宿題の3レベル」とは何ですか？</x:v>
      </x:c>
      <x:c r="D26" s="17" t="str">
        <x:v>AIE2026の宿題の構成。「基礎（講義内容の確認）」「実装（自分でコードを書く）」「発展（調査や試行）」の3段階があり、どれか1つに取り組めばその回の宿題は完了。原則として採点はしない。</x:v>
      </x:c>
      <x:c r="E26" s="17" t="str">
        <x:v>A/Bテストの3段階：1. 確認（どの方法が正しいか確認する）2. 実行（結果を記録する）3. 分析（結果をデータにまとめる）</x:v>
      </x:c>
      <x:c r="F26" s="18" t="str">
        <x:v>不正解</x:v>
      </x:c>
      <x:c r="G26" s="20" t="str">
        <x:v>不正解</x:v>
      </x:c>
      <x:c r="H26" s="17" t="str">
        <x:v>主旨が異なる、または誤情報・根拠のない断定</x:v>
      </x:c>
      <x:c r="I26" s="22" t="n">
        <x:f>IF(G26="正解",1,IF(G26="一部正解",0.5,IF(G26="不正解",0,"")))</x:f>
        <x:v>0</x:v>
      </x:c>
      <x:c r="J26" s="21" t="n">
        <x:v>0.115</x:v>
      </x:c>
    </x:row>
    <x:row r="27" ht="93" customHeight="1">
      <x:c r="A27" s="16" t="n">
        <x:v>24</x:v>
      </x:c>
      <x:c r="B27" s="17" t="str">
        <x:v>学習していない用語</x:v>
      </x:c>
      <x:c r="C27" s="17" t="str">
        <x:v>「評価と改善のサイクル」とは何ですか？</x:v>
      </x:c>
      <x:c r="D27" s="17" t="str">
        <x:v>作る→測る→直すを繰り返す開発の進め方。AIアプリは出力が確率的に揺れるため、感覚ではなく評価データや指標で良し悪しを判断し、その結果をもとにプロンプト・データ・モデル・ツールを改善する。本講座では学習支援エージェントを題材に、回をまたいでこのサイクルを回す。</x:v>
      </x:c>
      <x:c r="E27" s="17" t="str">
        <x:v>モデルの学習を終わらせる前に、評価結果を分析し、不足している点を特定し、モデルを修正して再度学習するプロセス。評価はモデルの性能を測るため、改善を測るために必要。</x:v>
      </x:c>
      <x:c r="F27" s="18" t="str">
        <x:v>正解</x:v>
      </x:c>
      <x:c r="G27" s="20" t="str">
        <x:v>正解</x:v>
      </x:c>
      <x:c r="H27" s="17" t="str">
        <x:v>主要な内容は正しいと判断</x:v>
      </x:c>
      <x:c r="I27" s="22" t="n">
        <x:f>IF(G27="正解",1,IF(G27="一部正解",0.5,IF(G27="不正解",0,"")))</x:f>
        <x:v>1</x:v>
      </x:c>
      <x:c r="J27" s="21" t="n">
        <x:v>0.104</x:v>
      </x:c>
    </x:row>
    <x:row r="28" ht="93" customHeight="1">
      <x:c r="A28" s="16" t="n">
        <x:v>25</x:v>
      </x:c>
      <x:c r="B28" s="17" t="str">
        <x:v>学習していない用語</x:v>
      </x:c>
      <x:c r="C28" s="17" t="str">
        <x:v>「temperature」とは何ですか？</x:v>
      </x:c>
      <x:c r="D28" s="17" t="str">
        <x:v>次のトークンを選ぶときのランダムさを調整する設定値。低いほど出力が安定し、高いほど多様になる。同じ質問でも回答が変わる理由の一つ。</x:v>
      </x:c>
      <x:c r="E28" s="17" t="str">
        <x:v>モデルの出力の分布を制御するパラメータ。0.0 は出力を100%に絞る、1.0 は出力の分布を100%に左右する。</x:v>
      </x:c>
      <x:c r="F28" s="18" t="str">
        <x:v>一部正解</x:v>
      </x:c>
      <x:c r="G28" s="20" t="str">
        <x:v>一部正解</x:v>
      </x:c>
      <x:c r="H28" s="17" t="str">
        <x:v>重要な内容に不足・不正確な箇所あり</x:v>
      </x:c>
      <x:c r="I28" s="22" t="n">
        <x:f>IF(G28="正解",1,IF(G28="一部正解",0.5,IF(G28="不正解",0,"")))</x:f>
        <x:v>0.5</x:v>
      </x:c>
      <x:c r="J28" s="21" t="n">
        <x:v>0.098</x:v>
      </x:c>
    </x:row>
    <x:row r="29" ht="93" customHeight="1">
      <x:c r="A29" s="16" t="n">
        <x:v>26</x:v>
      </x:c>
      <x:c r="B29" s="17" t="str">
        <x:v>用語集にない架空語</x:v>
      </x:c>
      <x:c r="C29" s="17" t="str">
        <x:v>講座の用語集にある『架空のゼータ伝播法』とは何ですか？</x:v>
      </x:c>
      <x:c r="D29" s="17" t="str">
        <x:v>用語集に記載がありません。</x:v>
      </x:c>
      <x:c r="E29" s="17" t="str">
        <x:v>Zeta 関数について簡単に説明してください。Zeta 関数の零点を、ある種の「伝播」で数えたり、計算したりする手法。本講座では、Zeta 関数の零点を数えるために使う。</x:v>
      </x:c>
      <x:c r="F29" s="18" t="str">
        <x:v>不正解</x:v>
      </x:c>
      <x:c r="G29" s="20" t="str">
        <x:v>不正解</x:v>
      </x:c>
      <x:c r="H29" s="17" t="str">
        <x:v>主旨が異なる、または誤情報・根拠のない断定</x:v>
      </x:c>
      <x:c r="I29" s="22" t="n">
        <x:f>IF(G29="正解",1,IF(G29="一部正解",0.5,IF(G29="不正解",0,"")))</x:f>
        <x:v>0</x:v>
      </x:c>
      <x:c r="J29" s="21" t="n">
        <x:v>0.041</x:v>
      </x:c>
    </x:row>
    <x:row r="30" ht="93" customHeight="1">
      <x:c r="A30" s="16" t="n">
        <x:v>27</x:v>
      </x:c>
      <x:c r="B30" s="17" t="str">
        <x:v>用語集にない架空語</x:v>
      </x:c>
      <x:c r="C30" s="17" t="str">
        <x:v>講座の用語集にある『ミラージュ重み圧縮』とは何ですか？</x:v>
      </x:c>
      <x:c r="D30" s="17" t="str">
        <x:v>用語集に記載がありません。</x:v>
      </x:c>
      <x:c r="E30" s="17" t="str">
        <x:v>モデルの重みを増やしすぎず、入力と出力の差を小さくする手法。重みを増やしすぎると出力の精度が落ちる。</x:v>
      </x:c>
      <x:c r="F30" s="18" t="str">
        <x:v>不正解</x:v>
      </x:c>
      <x:c r="G30" s="20" t="str">
        <x:v>不正解</x:v>
      </x:c>
      <x:c r="H30" s="17" t="str">
        <x:v>主旨が異なる、または誤情報・根拠のない断定</x:v>
      </x:c>
      <x:c r="I30" s="22" t="n">
        <x:f>IF(G30="正解",1,IF(G30="一部正解",0.5,IF(G30="不正解",0,"")))</x:f>
        <x:v>0</x:v>
      </x:c>
      <x:c r="J30" s="21" t="n">
        <x:v>0.032</x:v>
      </x:c>
    </x:row>
    <x:row r="31" ht="93" customHeight="1">
      <x:c r="A31" s="16" t="n">
        <x:v>28</x:v>
      </x:c>
      <x:c r="B31" s="17" t="str">
        <x:v>用語集にない架空語</x:v>
      </x:c>
      <x:c r="C31" s="17" t="str">
        <x:v>講座の用語集にある『仮想のオメガ評価器』とは何ですか？</x:v>
      </x:c>
      <x:c r="D31" s="17" t="str">
        <x:v>用語集に記載がありません。</x:v>
      </x:c>
      <x:c r="E31" s="17" t="str">
        <x:v>モデルの出力を、指定した範囲（例：特定のテキストや出力形式）で捉えるツール。出力の長さやフォーマットを気にせず、モデルが返す結果をそのまま使う。</x:v>
      </x:c>
      <x:c r="F31" s="18" t="str">
        <x:v>不正解</x:v>
      </x:c>
      <x:c r="G31" s="20" t="str">
        <x:v>不正解</x:v>
      </x:c>
      <x:c r="H31" s="17" t="str">
        <x:v>主旨が異なる、または誤情報・根拠のない断定</x:v>
      </x:c>
      <x:c r="I31" s="22" t="n">
        <x:f>IF(G31="正解",1,IF(G31="一部正解",0.5,IF(G31="不正解",0,"")))</x:f>
        <x:v>0</x:v>
      </x:c>
      <x:c r="J31" s="21" t="n">
        <x:v>0.024</x:v>
      </x:c>
    </x:row>
    <x:row r="32" ht="93" customHeight="1">
      <x:c r="A32" s="16" t="n">
        <x:v>29</x:v>
      </x:c>
      <x:c r="B32" s="17" t="str">
        <x:v>用語集にない架空語</x:v>
      </x:c>
      <x:c r="C32" s="17" t="str">
        <x:v>講座の用語集にある『架空のルナ推論器』とは何ですか？</x:v>
      </x:c>
      <x:c r="D32" s="17" t="str">
        <x:v>用語集に記載がありません。</x:v>
      </x:c>
      <x:c r="E32" s="17" t="str">
        <x:v>LLMが外部のデータ（公開の画像、SNSの投稿、ログなど）を自分のメモリに収める仕組み。メモリが足りなくなったら出力が落ちる。本講座では「公開の画像をモデルに渡す」のが例。</x:v>
      </x:c>
      <x:c r="F32" s="18" t="str">
        <x:v>不正解</x:v>
      </x:c>
      <x:c r="G32" s="20" t="str">
        <x:v>不正解</x:v>
      </x:c>
      <x:c r="H32" s="17" t="str">
        <x:v>主旨が異なる、または誤情報・根拠のない断定</x:v>
      </x:c>
      <x:c r="I32" s="22" t="n">
        <x:f>IF(G32="正解",1,IF(G32="一部正解",0.5,IF(G32="不正解",0,"")))</x:f>
        <x:v>0</x:v>
      </x:c>
      <x:c r="J32" s="21" t="n">
        <x:v>0.04</x:v>
      </x:c>
    </x:row>
    <x:row r="33" ht="93" customHeight="1">
      <x:c r="A33" s="16" t="n">
        <x:v>30</x:v>
      </x:c>
      <x:c r="B33" s="17" t="str">
        <x:v>用語集にない架空語</x:v>
      </x:c>
      <x:c r="C33" s="17" t="str">
        <x:v>講座の用語集にある『ネビュラ蒸留係数』とは何ですか？</x:v>
      </x:c>
      <x:c r="D33" s="17" t="str">
        <x:v>用語集に記載がありません。</x:v>
      </x:c>
      <x:c r="E33" s="17" t="str">
        <x:v>モデルの出力を、指定した出力の分布に近づける程度に、モデルの精度を上げるためのパラメータ。出力の分布をより目標分布に近づけるほど、精度は上がることがある。</x:v>
      </x:c>
      <x:c r="F33" s="18" t="str">
        <x:v>不正解</x:v>
      </x:c>
      <x:c r="G33" s="20" t="str">
        <x:v>不正解</x:v>
      </x:c>
      <x:c r="H33" s="17" t="str">
        <x:v>主旨が異なる、または誤情報・根拠のない断定</x:v>
      </x:c>
      <x:c r="I33" s="22" t="n">
        <x:f>IF(G33="正解",1,IF(G33="一部正解",0.5,IF(G33="不正解",0,"")))</x:f>
        <x:v>0</x:v>
      </x:c>
      <x:c r="J33" s="21" t="n">
        <x:v>0.089</x:v>
      </x:c>
    </x:row>
  </x:sheetData>
  <x:dataValidations count="1">
    <x:dataValidation type="list" sqref="G4:G33">
      <x:formula1>"正解,一部正解,不正解"</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8" hidden="0" customWidth="1"/>
    <x:col min="2" max="2" width="22" hidden="0" customWidth="1"/>
    <x:col min="3" max="3" width="42" hidden="0" customWidth="1"/>
    <x:col min="4" max="4" width="72" hidden="0" customWidth="1"/>
    <x:col min="5" max="5" width="85" hidden="0" customWidth="1"/>
    <x:col min="6" max="6" width="16" hidden="0" customWidth="1"/>
    <x:col min="7" max="7" width="18" hidden="0" customWidth="1"/>
    <x:col min="8" max="8" width="39" hidden="0" customWidth="1"/>
    <x:col min="9" max="9" width="10" hidden="0" customWidth="1"/>
    <x:col min="10" max="10" width="16" hidden="0" customWidth="1"/>
  </x:cols>
  <x:sheetData>
    <x:row r="1">
      <x:c r="A1" s="4" t="str">
        <x:v>学習前4bit：回答別の採点確認</x:v>
      </x:c>
    </x:row>
    <x:row r="2">
      <x:c r="A2" t="str">
        <x:v>G列の黄色いセルは変更できます。F列の仮判定は固定して残します。</x:v>
      </x:c>
    </x:row>
    <x:row r="3" ht="32" customHeight="1">
      <x:c r="A3" s="6" t="str">
        <x:v>No.</x:v>
      </x:c>
      <x:c r="B3" s="6" t="str">
        <x:v>問題区分</x:v>
      </x:c>
      <x:c r="C3" s="6" t="str">
        <x:v>質問</x:v>
      </x:c>
      <x:c r="D3" s="6" t="str">
        <x:v>正解文</x:v>
      </x:c>
      <x:c r="E3" s="6" t="str">
        <x:v>モデルの回答</x:v>
      </x:c>
      <x:c r="F3" s="6" t="str">
        <x:v>仮判定</x:v>
      </x:c>
      <x:c r="G3" s="6" t="str">
        <x:v>確認後の判定</x:v>
      </x:c>
      <x:c r="H3" s="6" t="str">
        <x:v>仮判定の理由・確認メモ</x:v>
      </x:c>
      <x:c r="I3" s="6" t="str">
        <x:v>得点</x:v>
      </x:c>
      <x:c r="J3" s="6" t="str">
        <x:v>文字列類似度</x:v>
      </x:c>
    </x:row>
    <x:row r="4" ht="93" customHeight="1">
      <x:c r="A4" s="16" t="n">
        <x:v>1</x:v>
      </x:c>
      <x:c r="B4" s="17" t="str">
        <x:v>学習に使用した質問</x:v>
      </x:c>
      <x:c r="C4" s="17" t="str">
        <x:v>「ガードレール」とは何ですか？</x:v>
      </x:c>
      <x:c r="D4" s="17" t="str">
        <x:v>エージェントが望ましくない行動や出力をしないように設ける制約や検査。指示文でのルール、ツールの権限を絞る、出力をチェックする、重要な操作の前に人の確認を挟む、などの方法がある。</x:v>
      </x:c>
      <x:c r="E4" s="17" t="str">
        <x:v>「ガードレール」と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いう言葉は、日本では「ガードレール」と</x:v>
      </x:c>
      <x:c r="F4" s="18" t="str">
        <x:v>不正解</x:v>
      </x:c>
      <x:c r="G4" s="20" t="str">
        <x:v>不正解</x:v>
      </x:c>
      <x:c r="H4" s="17" t="str">
        <x:v>主旨が異なる、または誤情報・根拠のない断定</x:v>
      </x:c>
      <x:c r="I4" s="22" t="n">
        <x:f>IF(G4="正解",1,IF(G4="一部正解",0.5,IF(G4="不正解",0,"")))</x:f>
        <x:v>0</x:v>
      </x:c>
      <x:c r="J4" s="21" t="n">
        <x:v>0.042</x:v>
      </x:c>
    </x:row>
    <x:row r="5" ht="93" customHeight="1">
      <x:c r="A5" s="16" t="n">
        <x:v>2</x:v>
      </x:c>
      <x:c r="B5" s="17" t="str">
        <x:v>別の聞き方</x:v>
      </x:c>
      <x:c r="C5" s="17" t="str">
        <x:v>この講座でいう『ガードレール』の意味と要点を説明してください。</x:v>
      </x:c>
      <x:c r="D5" s="17" t="str">
        <x:v>エージェントが望ましくない行動や出力をしないように設ける制約や検査。指示文でのルール、ツールの権限を絞る、出力をチェックする、重要な操作の前に人の確認を挟む、などの方法がある。</x:v>
      </x:c>
      <x:c r="E5" s="17" t="str">
        <x:v>ご質問ありがとうございます。
「ガードレール」という言葉は、**「ガードレール」**という**「安全の指針」**を意味します。
この言葉は、交通事故の防止や安全対策において、**「安全を最優先する」**という考え方を表しています。
### 具体的な意味と要点
**1. 意味**
「ガードレール」とは、道路や歩道場を安全に保うための**「安全の指針」**や**「安全の指針の線」**を意味します。
これらは、道路の安全を高めるための**「安全の指針」**を意味します。
**2. 要点**
*   **安全の指針**：道路や歩道場を安全に保うための**「安全の指針」**を意味します。
*   **安全の指針の線**：道路や歩道場を安全に保うための**「安全の</x:v>
      </x:c>
      <x:c r="F5" s="18" t="str">
        <x:v>不正解</x:v>
      </x:c>
      <x:c r="G5" s="20" t="str">
        <x:v>不正解</x:v>
      </x:c>
      <x:c r="H5" s="17" t="str">
        <x:v>主旨が異なる、または誤情報・根拠のない断定</x:v>
      </x:c>
      <x:c r="I5" s="22" t="n">
        <x:f>IF(G5="正解",1,IF(G5="一部正解",0.5,IF(G5="不正解",0,"")))</x:f>
        <x:v>0</x:v>
      </x:c>
      <x:c r="J5" s="21" t="n">
        <x:v>0.076</x:v>
      </x:c>
    </x:row>
    <x:row r="6" ht="93" customHeight="1">
      <x:c r="A6" s="16" t="n">
        <x:v>3</x:v>
      </x:c>
      <x:c r="B6" s="17" t="str">
        <x:v>学習に使用した質問</x:v>
      </x:c>
      <x:c r="C6" s="17" t="str">
        <x:v>「ファインチューニング」とは何ですか？</x:v>
      </x:c>
      <x:c r="D6"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6" s="17" t="str">
        <x:v>**ファインチューニング**（ファインチューニング）は、**「ファイン（Fine）」と「チューニング（Tuning）」**の組み合わせで、**「ファイン」という意味**を指します。
この言葉は、**「ファイン」という意味**を指すため、**「ファインチューニング」**という用語は、**「ファインチューニング（ファイン）」**という表現になります。
### 主な意味と用途
1.  **技術的・工程的意味**
    *   音や楽器の音質をより良くする工程や技術。
    *   例：「ファインチューニング（ファイン）」は、音の純度や響き（音色）を改善する工程。
    *   例：「ファインチューニング（ファイン）」は、音の音高や音長を調整する工程。
2.  **音楽・楽器の</x:v>
      </x:c>
      <x:c r="F6" s="18" t="str">
        <x:v>不正解</x:v>
      </x:c>
      <x:c r="G6" s="20" t="str">
        <x:v>不正解</x:v>
      </x:c>
      <x:c r="H6" s="17" t="str">
        <x:v>主旨が異なる、または誤情報・根拠のない断定</x:v>
      </x:c>
      <x:c r="I6" s="22" t="n">
        <x:f>IF(G6="正解",1,IF(G6="一部正解",0.5,IF(G6="不正解",0,"")))</x:f>
        <x:v>0</x:v>
      </x:c>
      <x:c r="J6" s="21" t="n">
        <x:v>0.03</x:v>
      </x:c>
    </x:row>
    <x:row r="7" ht="93" customHeight="1">
      <x:c r="A7" s="16" t="n">
        <x:v>4</x:v>
      </x:c>
      <x:c r="B7" s="17" t="str">
        <x:v>別の聞き方</x:v>
      </x:c>
      <x:c r="C7" s="17" t="str">
        <x:v>この講座でいう『ファインチューニング』の意味と要点を説明してください。</x:v>
      </x:c>
      <x:c r="D7"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7" s="17" t="str">
        <x:v>「ファインチューニング（ファイン・チューニング）」は、**「ファイン（Fine）」と「チューニング（Tuning）」の組み合わせ**で、**「精密な調整や修飾」**を指します。
この言葉は、楽器の音質や音の安定性を高めるために、**「音の音高（Pitch）」や「音の音色（Timbre）」をより良く調整する工程**を指します。
以下に、この用語の具体的な意味と要点を解説します。
### 1. 意味の概要
*   **音の安定性**: 楽器の音は、音高（Pitch）や音質（Timbre）が安定している状態を「ファインチューニング」と呼びます。
*   **音の調整**: 音の音高や音色をより良く調整する工程を指します。
*   **目的**: 楽器の演奏がより良い状態（より良い</x:v>
      </x:c>
      <x:c r="F7" s="18" t="str">
        <x:v>不正解</x:v>
      </x:c>
      <x:c r="G7" s="20" t="str">
        <x:v>不正解</x:v>
      </x:c>
      <x:c r="H7" s="17" t="str">
        <x:v>主旨が異なる、または誤情報・根拠のない断定</x:v>
      </x:c>
      <x:c r="I7" s="22" t="n">
        <x:f>IF(G7="正解",1,IF(G7="一部正解",0.5,IF(G7="不正解",0,"")))</x:f>
        <x:v>0</x:v>
      </x:c>
      <x:c r="J7" s="21" t="n">
        <x:v>0.026</x:v>
      </x:c>
    </x:row>
    <x:row r="8" ht="93" customHeight="1">
      <x:c r="A8" s="16" t="n">
        <x:v>5</x:v>
      </x:c>
      <x:c r="B8" s="17" t="str">
        <x:v>学習に使用した質問</x:v>
      </x:c>
      <x:c r="C8" s="17" t="str">
        <x:v>「MCPサーバー」とは何ですか？</x:v>
      </x:c>
      <x:c r="D8"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8" s="17" t="str">
        <x:v>**MCP（Model Context Protocol）** は、**Microsoft Azure** の AI サービス（特に Azure AI および Azure Cognitive Services）で使用される、**モデルの出力を「コンテキスト（Context）」として提供する仕組み**です。
簡単に言うと、AI 模型が「答えを出す」のではなく、**「答えを出す前に、必要な情報を（コンテキスト）を準備する」**という役割を担っています。
以下に、MCP について重要なポイントを解説します。
### 1. 基本コンセプト
MCP は、モデルが「文脈（Context）」を理解し、その文脈に基づいて回答を生成する際に、**外部のデータや情報（MCP）**をモデルに提供する仕組みです。
*   **従来の AI（モデルのみ）**：モデルが「この質問に対して、答えを返すだけ」で、外部の知識や文脈をそのまま使う。
*   **MCP（モデル + コンテキスト）**：</x:v>
      </x:c>
      <x:c r="F8" s="18" t="str">
        <x:v>不正解</x:v>
      </x:c>
      <x:c r="G8" s="20" t="str">
        <x:v>不正解</x:v>
      </x:c>
      <x:c r="H8" s="17" t="str">
        <x:v>主旨が異なる、または誤情報・根拠のない断定</x:v>
      </x:c>
      <x:c r="I8" s="22" t="n">
        <x:f>IF(G8="正解",1,IF(G8="一部正解",0.5,IF(G8="不正解",0,"")))</x:f>
        <x:v>0</x:v>
      </x:c>
      <x:c r="J8" s="21" t="n">
        <x:v>0.068</x:v>
      </x:c>
    </x:row>
    <x:row r="9" ht="93" customHeight="1">
      <x:c r="A9" s="16" t="n">
        <x:v>6</x:v>
      </x:c>
      <x:c r="B9" s="17" t="str">
        <x:v>別の聞き方</x:v>
      </x:c>
      <x:c r="C9" s="17" t="str">
        <x:v>この講座でいう『MCPサーバー』の意味と要点を説明してください。</x:v>
      </x:c>
      <x:c r="D9"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9" s="17" t="str">
        <x:v>「MCP サーバー」という用語は、**「MCP（Model Context Protocol）」**という技術用語を指します。
この講座で「MCP サーバー」という言葉は、**「MCP サーバー（または MCP Server）」**を指すことが多いです。MCP サーバーとは、**MCP（Model Context Protocol）サーバー**を指す言葉です。
### 1. MCP サーバーとは何か？
MCP サーバーとは、**MCP（Model Context Protocol）サーバー**を指す言葉です。MCP サーバーとは、**MCP（Model Context Protocol）サーバー**を指す言葉です。
MCP サーバーとは、**MCP（Model Context Protocol）サーバー**を指す言葉です。
MCP サーバーとは、**MCP（Model Context Protocol）サーバー**を指す言葉です。
MCP サーバーとは、**MCP（Model Context Protocol）サーバー**</x:v>
      </x:c>
      <x:c r="F9" s="18" t="str">
        <x:v>不正解</x:v>
      </x:c>
      <x:c r="G9" s="20" t="str">
        <x:v>不正解</x:v>
      </x:c>
      <x:c r="H9" s="17" t="str">
        <x:v>主旨が異なる、または誤情報・根拠のない断定</x:v>
      </x:c>
      <x:c r="I9" s="22" t="n">
        <x:f>IF(G9="正解",1,IF(G9="一部正解",0.5,IF(G9="不正解",0,"")))</x:f>
        <x:v>0</x:v>
      </x:c>
      <x:c r="J9" s="21" t="n">
        <x:v>0.062</x:v>
      </x:c>
    </x:row>
    <x:row r="10" ht="93" customHeight="1">
      <x:c r="A10" s="16" t="n">
        <x:v>7</x:v>
      </x:c>
      <x:c r="B10" s="17" t="str">
        <x:v>学習に使用した質問</x:v>
      </x:c>
      <x:c r="C10" s="17" t="str">
        <x:v>「環境変数」とは何ですか？</x:v>
      </x:c>
      <x:c r="D10" s="17" t="str">
        <x:v>プログラムの外側（OSや実行環境）で設定し、プログラムから名前で読み出せる値。APIキーのような秘密情報や、環境ごとに変わる設定をコードから切り離すために使う。</x:v>
      </x:c>
      <x:c r="E10" s="17" t="str">
        <x:v>**環境変数**（Environment variables）は、コンピュータやアプリケーションが起動する際、**システム設定ファイル**（通常は `~/.bashrc` や `~/.profile`）に定義された、**システム設定**や**環境設定**の例です。
この設定ファイルに定義された環境変数は、アプリケーションやプログラムが起動する際に、**システム設定**や**環境設定**の例として、**システム設定**や**環境設定**の例として、**システム設定**や**環境設定**の例として、**システム設定**や**環境設定**の例として、**システム設定**や**環境設定**の例として、**システム設定**や**環境設定**の例として、**システム設定**や**環境設定**の例として、**システム設定**や**環境設定**の例として、**システム設定**や**環境設定**の例として、**システム設定**や**環境</x:v>
      </x:c>
      <x:c r="F10" s="18" t="str">
        <x:v>一部正解</x:v>
      </x:c>
      <x:c r="G10" s="20" t="str">
        <x:v>一部正解</x:v>
      </x:c>
      <x:c r="H10" s="17" t="str">
        <x:v>重要な内容に不足・不正確な箇所あり</x:v>
      </x:c>
      <x:c r="I10" s="22" t="n">
        <x:f>IF(G10="正解",1,IF(G10="一部正解",0.5,IF(G10="不正解",0,"")))</x:f>
        <x:v>0.5</x:v>
      </x:c>
      <x:c r="J10" s="21" t="n">
        <x:v>0.048</x:v>
      </x:c>
    </x:row>
    <x:row r="11" ht="93" customHeight="1">
      <x:c r="A11" s="16" t="n">
        <x:v>8</x:v>
      </x:c>
      <x:c r="B11" s="17" t="str">
        <x:v>別の聞き方</x:v>
      </x:c>
      <x:c r="C11" s="17" t="str">
        <x:v>この講座でいう『環境変数』の意味と要点を説明してください。</x:v>
      </x:c>
      <x:c r="D11" s="17" t="str">
        <x:v>プログラムの外側（OSや実行環境）で設定し、プログラムから名前で読み出せる値。APIキーのような秘密情報や、環境ごとに変わる設定をコードから切り離すために使う。</x:v>
      </x:c>
      <x:c r="E11" s="17" t="str">
        <x:v>ご質問ありがとうございます。
「環境変数（Environment Variable）」は、**「環境」の概念**を指します。
### 意味と要点
**環境変数**とは、**「環境（Environment）」**という概念を指します。
*   **環境**とは、**「環境（Environment）」**という概念を指します。
*   **環境変数**とは、**「環境（Environment）」**という概念を指します。
この定義に基づき、環境変数は「環境（Environment）」という概念を指します。
### 関連する用語
*   **環境（Environment）**：環境（Environment）という概念を指します。
*   **環境変数（Environment Variable）**：環境（Environment）という概念を指します。
### 結論
**環境変数**は、**「環境（Environment）」**という概念を指します。</x:v>
      </x:c>
      <x:c r="F11" s="18" t="str">
        <x:v>不正解</x:v>
      </x:c>
      <x:c r="G11" s="20" t="str">
        <x:v>不正解</x:v>
      </x:c>
      <x:c r="H11" s="17" t="str">
        <x:v>主旨が異なる、または誤情報・根拠のない断定</x:v>
      </x:c>
      <x:c r="I11" s="22" t="n">
        <x:f>IF(G11="正解",1,IF(G11="一部正解",0.5,IF(G11="不正解",0,"")))</x:f>
        <x:v>0</x:v>
      </x:c>
      <x:c r="J11" s="21" t="n">
        <x:v>0.047</x:v>
      </x:c>
    </x:row>
    <x:row r="12" ht="93" customHeight="1">
      <x:c r="A12" s="16" t="n">
        <x:v>9</x:v>
      </x:c>
      <x:c r="B12" s="17" t="str">
        <x:v>学習に使用した質問</x:v>
      </x:c>
      <x:c r="C12" s="17" t="str">
        <x:v>「fork」とは何ですか？</x:v>
      </x:c>
      <x:c r="D12" s="17" t="str">
        <x:v>他人のrepoを自分のアカウントに丸ごとコピーすること。本講座では講座repoをforkし、自分のfork上で作業・提出する。</x:v>
      </x:c>
      <x:c r="E12" s="17" t="str">
        <x:v>「fork」とは、**「fork」という言葉の由来から**、**「fork」という言葉の反対**（対物）を指します。
具体的には、**「fork」という言葉の反対**を指すため、**「fork」という言葉の反対**を指すため、**「fork」という言葉の反対**を指すため、**「fork」という言葉の反対**を指すため、**「fork」という言葉の反対**を指すため、**「fork」という言葉の反対**を指すため、**「fork」という言葉の反対**を指すため、**「fork」という言葉の反対**を指すため、**「fork」という言葉の反対**を指すため、**「fork」という言葉の反対**を指すため、**「fork」という言葉の反対**を指すため、**「fork」という言葉の反対**</x:v>
      </x:c>
      <x:c r="F12" s="18" t="str">
        <x:v>不正解</x:v>
      </x:c>
      <x:c r="G12" s="20" t="str">
        <x:v>不正解</x:v>
      </x:c>
      <x:c r="H12" s="17" t="str">
        <x:v>主旨が異なる、または誤情報・根拠のない断定</x:v>
      </x:c>
      <x:c r="I12" s="22" t="n">
        <x:f>IF(G12="正解",1,IF(G12="一部正解",0.5,IF(G12="不正解",0,"")))</x:f>
        <x:v>0</x:v>
      </x:c>
      <x:c r="J12" s="21" t="n">
        <x:v>0.054</x:v>
      </x:c>
    </x:row>
    <x:row r="13" ht="93" customHeight="1">
      <x:c r="A13" s="16" t="n">
        <x:v>10</x:v>
      </x:c>
      <x:c r="B13" s="17" t="str">
        <x:v>別の聞き方</x:v>
      </x:c>
      <x:c r="C13" s="17" t="str">
        <x:v>この講座でいう『fork』の意味と要点を説明してください。</x:v>
      </x:c>
      <x:c r="D13" s="17" t="str">
        <x:v>他人のrepoを自分のアカウントに丸ごとコピーすること。本講座では講座repoをforkし、自分のfork上で作業・提出する。</x:v>
      </x:c>
      <x:c r="E13" s="17" t="str">
        <x:v>ご質問ありがとうございます。
「fork」という言葉は、**「分岐点（分岐）」**や**「分岐（分岐）」**という意味を持ちます。
この言葉は主に**ソフトウェア開発**（特にオープンソースプロジェクトやオープンソースソフトウェア）や**プログラミング**の文脈でよく使われます。
### 1. 意味と定義
*   **分岐点（分岐）**：
    一つのルート（根幹）から、別のルート（枝）へ分岐する点。
    *   例：「このプロジェクトは、このルートから進み、別のルートへ分岐します。」
*   **分岐（分岐）**：
    複数のルートが分岐して、それぞれ独立して進み、最終的に同じ結果を得る点。
    *   例：「このプロジェクトは、このルートから進み、別のルートへ分岐します。結果として、</x:v>
      </x:c>
      <x:c r="F13" s="18" t="str">
        <x:v>一部正解</x:v>
      </x:c>
      <x:c r="G13" s="20" t="str">
        <x:v>一部正解</x:v>
      </x:c>
      <x:c r="H13" s="17" t="str">
        <x:v>重要な内容に不足・不正確な箇所あり</x:v>
      </x:c>
      <x:c r="I13" s="22" t="n">
        <x:f>IF(G13="正解",1,IF(G13="一部正解",0.5,IF(G13="不正解",0,"")))</x:f>
        <x:v>0.5</x:v>
      </x:c>
      <x:c r="J13" s="21" t="n">
        <x:v>0.071</x:v>
      </x:c>
    </x:row>
    <x:row r="14" ht="93" customHeight="1">
      <x:c r="A14" s="16" t="n">
        <x:v>11</x:v>
      </x:c>
      <x:c r="B14" s="17" t="str">
        <x:v>学習に使用した質問</x:v>
      </x:c>
      <x:c r="C14" s="17" t="str">
        <x:v>「コード補完」とは何ですか？</x:v>
      </x:c>
      <x:c r="D14" s="17" t="str">
        <x:v>書きかけのコードやコメントから、続きのコードをAIが提案する機能。Tabキーなどで受け入れる。提案は正しいとは限らないので、読んで理解してから採用する。</x:v>
      </x:c>
      <x:c r="E14" s="17" t="str">
        <x:v>「コード補完」とは、**コードの出力結果（出力）を修正する作業**のことです。
一般的に、コードが正しい形式や正しい値を返すことができない場合、その出力を修正して再構築する作業を指します。
具体的には、以下の 3 つのケースで補完が行われます。
1.  **出力の修正**
    *   正しい形式（例：`{"a": 1}`）を返すことができない場合、`{"a": 2}`（出力が 2 になる）を返す。
    *   正しい値（例：`1`）を返すことができない場合、`2`（出力が 2 になる）を返す。
2.  **出力の修正**
    *   正しい形式（例：`{"a": 1}`）を返すことができない場合、`{"a": 2}`</x:v>
      </x:c>
      <x:c r="F14" s="18" t="str">
        <x:v>不正解</x:v>
      </x:c>
      <x:c r="G14" s="20" t="str">
        <x:v>不正解</x:v>
      </x:c>
      <x:c r="H14" s="17" t="str">
        <x:v>主旨が異なる、または誤情報・根拠のない断定</x:v>
      </x:c>
      <x:c r="I14" s="22" t="n">
        <x:f>IF(G14="正解",1,IF(G14="一部正解",0.5,IF(G14="不正解",0,"")))</x:f>
        <x:v>0</x:v>
      </x:c>
      <x:c r="J14" s="21" t="n">
        <x:v>0.121</x:v>
      </x:c>
    </x:row>
    <x:row r="15" ht="93" customHeight="1">
      <x:c r="A15" s="16" t="n">
        <x:v>12</x:v>
      </x:c>
      <x:c r="B15" s="17" t="str">
        <x:v>別の聞き方</x:v>
      </x:c>
      <x:c r="C15" s="17" t="str">
        <x:v>この講座でいう『コード補完』の意味と要点を説明してください。</x:v>
      </x:c>
      <x:c r="D15" s="17" t="str">
        <x:v>書きかけのコードやコメントから、続きのコードをAIが提案する機能。Tabキーなどで受け入れる。提案は正しいとは限らないので、読んで理解してから採用する。</x:v>
      </x:c>
      <x:c r="E15" s="17" t="str">
        <x:v>「コード補完（Code Completion）」は、**「コードの出力（出力）が正しい場合、その出力を提示するコードの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が正しい場合」**という**「出力が正しい場合、出力</x:v>
      </x:c>
      <x:c r="F15" s="18" t="str">
        <x:v>不正解</x:v>
      </x:c>
      <x:c r="G15" s="20" t="str">
        <x:v>不正解</x:v>
      </x:c>
      <x:c r="H15" s="17" t="str">
        <x:v>主旨が異なる、または誤情報・根拠のない断定</x:v>
      </x:c>
      <x:c r="I15" s="22" t="n">
        <x:f>IF(G15="正解",1,IF(G15="一部正解",0.5,IF(G15="不正解",0,"")))</x:f>
        <x:v>0</x:v>
      </x:c>
      <x:c r="J15" s="21" t="n">
        <x:v>0.059</x:v>
      </x:c>
    </x:row>
    <x:row r="16" ht="93" customHeight="1">
      <x:c r="A16" s="16" t="n">
        <x:v>13</x:v>
      </x:c>
      <x:c r="B16" s="17" t="str">
        <x:v>学習に使用した質問</x:v>
      </x:c>
      <x:c r="C16" s="17" t="str">
        <x:v>「MCPクライアント」とは何ですか？</x:v>
      </x:c>
      <x:c r="D16"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6" s="17" t="str">
        <x:v>**MCP（Model Context Protocol）** は、**Microsoft Azure** の AI サービス（特に Azure AI）において、**モデル（Model）とコンテキスト（Context）を共有する通信プロトコル**です。
簡単に言うと、AI 機器（例えば、Azure AI Server、Azure AI Desktop など）が、ユーザーが提供した情報（コンテキスト）を、その AI モデルに渡すために必要な情報として共有する仕組みです。
このプロトコルが機能する主な目的は、**「モデルが理解する必要がある情報」を「ユーザーが提供した情報」に自動的に追加・補完**することです。
### 具体的なメリットと仕組み
*   **情報の共有と補完**:
    *   例：ユーザーが「私の名前」をメモ欄に書き込みます。
    *   AI モデルが、そのメモ欄に「名前」を渡します。
    *   もし AI モデル</x:v>
      </x:c>
      <x:c r="F16" s="18" t="str">
        <x:v>不正解</x:v>
      </x:c>
      <x:c r="G16" s="20" t="str">
        <x:v>不正解</x:v>
      </x:c>
      <x:c r="H16" s="17" t="str">
        <x:v>主旨が異なる、または誤情報・根拠のない断定</x:v>
      </x:c>
      <x:c r="I16" s="22" t="n">
        <x:f>IF(G16="正解",1,IF(G16="一部正解",0.5,IF(G16="不正解",0,"")))</x:f>
        <x:v>0</x:v>
      </x:c>
      <x:c r="J16" s="21" t="n">
        <x:v>0.11</x:v>
      </x:c>
    </x:row>
    <x:row r="17" ht="93" customHeight="1">
      <x:c r="A17" s="16" t="n">
        <x:v>14</x:v>
      </x:c>
      <x:c r="B17" s="17" t="str">
        <x:v>別の聞き方</x:v>
      </x:c>
      <x:c r="C17" s="17" t="str">
        <x:v>この講座でいう『MCPクライアント』の意味と要点を説明してください。</x:v>
      </x:c>
      <x:c r="D17"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7" s="17" t="str">
        <x:v>「MCP（Model Context Protocol）」は、**「MCP クライアント（Model Context Client）」**という用語を指すため、その意味と要点を解説します。
### 1. 意味
**MCP クライアント**は、**MCP（Model Context Protocol）**というプロトコルを介して、**MCP クライアント**というクライアントが、**MCP クライアント**というクライアントと**MCP クライアント**というクライアントと**MCP クライアント**というクライアントと**MCP クライアント**というクライアントと**MCP クライアント**というクライアントと**MCP クライアント**というクライアントと**MCP クライアント**というクライアントと**MCP クライアント**というクライアントと**MCP クライアント**というクライアントと**MCP クライアント**というクライアントと**MCP クライアント**というクライアントと**MCP クライアント**</x:v>
      </x:c>
      <x:c r="F17" s="18" t="str">
        <x:v>不正解</x:v>
      </x:c>
      <x:c r="G17" s="20" t="str">
        <x:v>不正解</x:v>
      </x:c>
      <x:c r="H17" s="17" t="str">
        <x:v>主旨が異なる、または誤情報・根拠のない断定</x:v>
      </x:c>
      <x:c r="I17" s="22" t="n">
        <x:f>IF(G17="正解",1,IF(G17="一部正解",0.5,IF(G17="不正解",0,"")))</x:f>
        <x:v>0</x:v>
      </x:c>
      <x:c r="J17" s="21" t="n">
        <x:v>0.091</x:v>
      </x:c>
    </x:row>
    <x:row r="18" ht="93" customHeight="1">
      <x:c r="A18" s="16" t="n">
        <x:v>15</x:v>
      </x:c>
      <x:c r="B18" s="17" t="str">
        <x:v>学習に使用した質問</x:v>
      </x:c>
      <x:c r="C18" s="17" t="str">
        <x:v>「ツールの名前空間」とは何ですか？</x:v>
      </x:c>
      <x:c r="D18"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8" s="17" t="str">
        <x:v>「ツールの名前空間」とは、**ソフトウェア開発者やエンジニアが、特定のツール（例：GitHub、Jira、Slack、AWS、Docker など）を指す名前や名前空間を定義する場所**のことです。
この概念は、**「名前空間（Name Space）」**という用語の日本語訳で、主に **Git（GitHub/GitLab）や GitLab** のプロジェクト管理システム（GPGAL）や、**Docker** の環境構築環境（Dockerfile）などで使われます。
### 具体的な意味と用途
1.  **Git の名前空間**
    *   **定義**: `git` という名前空間を定義します。
    *   **目的**: 特定のプロジェクトやリポジトリ（例：`my-project`）を管理するための名前空間です。
    *   **例**: `git clone my-project`
        *   `my-project` は、`git</x:v>
      </x:c>
      <x:c r="F18" s="18" t="str">
        <x:v>不正解</x:v>
      </x:c>
      <x:c r="G18" s="20" t="str">
        <x:v>不正解</x:v>
      </x:c>
      <x:c r="H18" s="17" t="str">
        <x:v>主旨が異なる、または誤情報・根拠のない断定</x:v>
      </x:c>
      <x:c r="I18" s="22" t="n">
        <x:f>IF(G18="正解",1,IF(G18="一部正解",0.5,IF(G18="不正解",0,"")))</x:f>
        <x:v>0</x:v>
      </x:c>
      <x:c r="J18" s="21" t="n">
        <x:v>0.041</x:v>
      </x:c>
    </x:row>
    <x:row r="19" ht="93" customHeight="1">
      <x:c r="A19" s="16" t="n">
        <x:v>16</x:v>
      </x:c>
      <x:c r="B19" s="17" t="str">
        <x:v>別の聞き方</x:v>
      </x:c>
      <x:c r="C19" s="17" t="str">
        <x:v>この講座でいう『ツールの名前空間』の意味と要点を説明してください。</x:v>
      </x:c>
      <x:c r="D19"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9" s="17" t="str">
        <x:v>ご質問ありがとうございます。
「ツールの名前空間（Name Space）」は、**「ツールが何を使うべきか、どのツールを使うべきか」を定義する場所**を指します。
この概念は、特に**「開発者ガイドライン（Developer Guidelines）」**や**「開発者ガイドライン（Developer Guidelines）」**という用語でよく使われます。
### 意味と要点
**「名前空間」**とは、ツールがどのような用途（用途）を定義する場所です。
具体的には、以下の 3 つの要素から構成されます。
1.  **用途定義（用途定義）**
    *   どのツールを使うべきか、どのツールを使うべきかという**「用途の定義」**を定義します。
    *   例：「このツールは、データ解析やレポート作成に使用します」という用途を定義します。
2.  **権限定義（権限定義）**
    *</x:v>
      </x:c>
      <x:c r="F19" s="18" t="str">
        <x:v>不正解</x:v>
      </x:c>
      <x:c r="G19" s="20" t="str">
        <x:v>不正解</x:v>
      </x:c>
      <x:c r="H19" s="17" t="str">
        <x:v>主旨が異なる、または誤情報・根拠のない断定</x:v>
      </x:c>
      <x:c r="I19" s="22" t="n">
        <x:f>IF(G19="正解",1,IF(G19="一部正解",0.5,IF(G19="不正解",0,"")))</x:f>
        <x:v>0</x:v>
      </x:c>
      <x:c r="J19" s="21" t="n">
        <x:v>0.059</x:v>
      </x:c>
    </x:row>
    <x:row r="20" ht="93" customHeight="1">
      <x:c r="A20" s="16" t="n">
        <x:v>17</x:v>
      </x:c>
      <x:c r="B20" s="17" t="str">
        <x:v>学習に使用した質問</x:v>
      </x:c>
      <x:c r="C20" s="17" t="str">
        <x:v>「Hugging Face Hub」とは何ですか？</x:v>
      </x:c>
      <x:c r="D20" s="17" t="str">
        <x:v>公開されたモデルやデータセットを共有・ダウンロードできるプラットフォーム。オープンウェイトのモデルを入手したり、LoRAアダプタを公開したりするのに使われる。</x:v>
      </x:c>
      <x:c r="E20" s="17" t="str">
        <x:v>**Hugging Face Hub** は、**Hugging Face**（Hugging）のプロジェクトのウェブサイトです。
このプロジェクトは、**大規模言語モデル（LLM）**のデータやコードを無料で共有するオープンソースプロジェクトです。主な目的は、AI 開発者や研究者が、大規模なモデルのデータやコードを共有し、再利用できるようにするようになっています。
主な特徴と機能は以下の通りです：
*   **データ共有**: 大規模な言語モデル（例：GPT-3.5、GPT-4 など）のテキストデータやコードを公開します。
*   **コード共有**: 大規模なモデルのコードを共有し、再利用できるようにします。
*   **コミュニティ**: 多くの AI 開発者、研究者、および企業などが Hugging Face Hub にアクセスし、データやコードを共有・利用します。
*   **目的**: 大規模な AI モデルのデータ</x:v>
      </x:c>
      <x:c r="F20" s="18" t="str">
        <x:v>一部正解</x:v>
      </x:c>
      <x:c r="G20" s="20" t="str">
        <x:v>一部正解</x:v>
      </x:c>
      <x:c r="H20" s="17" t="str">
        <x:v>重要な内容に不足・不正確な箇所あり</x:v>
      </x:c>
      <x:c r="I20" s="22" t="n">
        <x:f>IF(G20="正解",1,IF(G20="一部正解",0.5,IF(G20="不正解",0,"")))</x:f>
        <x:v>0.5</x:v>
      </x:c>
      <x:c r="J20" s="21" t="n">
        <x:v>0.104</x:v>
      </x:c>
    </x:row>
    <x:row r="21" ht="93" customHeight="1">
      <x:c r="A21" s="16" t="n">
        <x:v>18</x:v>
      </x:c>
      <x:c r="B21" s="17" t="str">
        <x:v>別の聞き方</x:v>
      </x:c>
      <x:c r="C21" s="17" t="str">
        <x:v>この講座でいう『Hugging Face Hub』の意味と要点を説明してください。</x:v>
      </x:c>
      <x:c r="D21" s="17" t="str">
        <x:v>公開されたモデルやデータセットを共有・ダウンロードできるプラットフォーム。オープンウェイトのモデルを入手したり、LoRAアダプタを公開したりするのに使われる。</x:v>
      </x:c>
      <x:c r="E21" s="17" t="str">
        <x:v>「Hugging Face Hub」は、**Hugging Face AI**（Hugging Face AI）のウェブサイトやアプリで提供されている、**大規模なテキストベースの LLM（大規模言語モデル）の学習・トレーニング・評価・共有プラットフォーム**です。
このプラットフォームは、AI 研究や開発者コミュニティが、LLM のデータ、モデル、コード、およびトレーニングデータを共有・共有・共有する場として機能しています。
以下に、Hugging Face Hub の主な意味と要点を解説します。
### 1. 主な意味
Hugging Face Hub は、**「Hugging Face AI」の「Hugging Face Hub」**という名称で、LLM の学習・トレーニング・共有を支援するプラットフォームです。
*   **Hugging Face AI**：Hugging Face AI は、LLM の開発者コミュニティとして知られる AI 研究機関です。
*   **Hugging Face Hub**：Hugging Face</x:v>
      </x:c>
      <x:c r="F21" s="18" t="str">
        <x:v>正解</x:v>
      </x:c>
      <x:c r="G21" s="20" t="str">
        <x:v>正解</x:v>
      </x:c>
      <x:c r="H21" s="17" t="str">
        <x:v>主要な内容は正しいと判断</x:v>
      </x:c>
      <x:c r="I21" s="22" t="n">
        <x:f>IF(G21="正解",1,IF(G21="一部正解",0.5,IF(G21="不正解",0,"")))</x:f>
        <x:v>1</x:v>
      </x:c>
      <x:c r="J21" s="21" t="n">
        <x:v>0.111</x:v>
      </x:c>
    </x:row>
    <x:row r="22" ht="93" customHeight="1">
      <x:c r="A22" s="16" t="n">
        <x:v>19</x:v>
      </x:c>
      <x:c r="B22" s="17" t="str">
        <x:v>学習に使用した質問</x:v>
      </x:c>
      <x:c r="C22" s="17" t="str">
        <x:v>「GitHub Copilot」とは何ですか？</x:v>
      </x:c>
      <x:c r="D22" s="17" t="str">
        <x:v>GitHubのAIコーディング支援。エディタでのコード補完、チャットでの質問、エージェントモードでの複数ファイル編集などができる。無料のCopilot Freeは補完の回数とチャットの利用量に上限がある。</x:v>
      </x:c>
      <x:c r="E22" s="17" t="str">
        <x:v>**GitHub Copilot** は、GitHub のプロジェクトやコードを助けるための**AI 助手**です。
簡単に言うと、GitHub のユーザーが自分のコードやプロジェクトを「コピー・ペースト」して、すぐに AI がそのコードを分析し、コードの改善や修正を提案してくれるツールです。
主な特徴と機能は以下の通りです。
*   **コードの分析**: コードの構造、ロジック、エラーの位置などを AI が分析し、改善の提案を行います。
*   **コードの生成**: 特定のコードの作成や修正を提案し、ユーザーがそれをそのまま使用できる場合があります。
*   **プロジェクトの改善**: 既存のプロジェクトのコードを分析し、改善点を提示し、ユーザーが修正する。
*   **セキュリティ**: 攻撃的なコードやセキュリティ上の問題の提示。
GitHub Copilot は、GitHub のユーザーが、自分のコードをコピーしてすぐに AI が分析し、コード</x:v>
      </x:c>
      <x:c r="F22" s="18" t="str">
        <x:v>一部正解</x:v>
      </x:c>
      <x:c r="G22" s="20" t="str">
        <x:v>一部正解</x:v>
      </x:c>
      <x:c r="H22" s="17" t="str">
        <x:v>重要な内容に不足・不正確な箇所あり</x:v>
      </x:c>
      <x:c r="I22" s="22" t="n">
        <x:f>IF(G22="正解",1,IF(G22="一部正解",0.5,IF(G22="不正解",0,"")))</x:f>
        <x:v>0.5</x:v>
      </x:c>
      <x:c r="J22" s="21" t="n">
        <x:v>0.148</x:v>
      </x:c>
    </x:row>
    <x:row r="23" ht="93" customHeight="1">
      <x:c r="A23" s="16" t="n">
        <x:v>20</x:v>
      </x:c>
      <x:c r="B23" s="17" t="str">
        <x:v>別の聞き方</x:v>
      </x:c>
      <x:c r="C23" s="17" t="str">
        <x:v>この講座でいう『GitHub Copilot』の意味と要点を説明してください。</x:v>
      </x:c>
      <x:c r="D23" s="17" t="str">
        <x:v>GitHubのAIコーディング支援。エディタでのコード補完、チャットでの質問、エージェントモードでの複数ファイル編集などができる。無料のCopilot Freeは補完の回数とチャットの利用量に上限がある。</x:v>
      </x:c>
      <x:c r="E23" s="17" t="str">
        <x:v>**GitHub Copilot** は、GitHub のプロジェクトやコードを支援する AI ツールです。
このツールは、GitHub のユーザーがコードを生成したり、既存のコードを修正したりする際に、**AI が自動的にコードの生成や修正を提案する**機能です。
主な特徴と要点は以下の通りです。
### 1. 主な機能
*   **コード生成**: GitHub のプロジェクトのコードを生成し、修正する際、AI がコードの構造やロジックを提案します。
*   **コード修正**: 既存のコードにエラーや不具合がある場合、AI が自動的に修正を提案します。
*   **コードリファレンス**: 特定のコードの文脈や関数名に対して、AI が関連するコードやリファレンスを提案します。
*   **コードリファレンス**: 特定のコードの文脈や関数名に対して、AI が関連するコードや</x:v>
      </x:c>
      <x:c r="F23" s="18" t="str">
        <x:v>正解</x:v>
      </x:c>
      <x:c r="G23" s="20" t="str">
        <x:v>正解</x:v>
      </x:c>
      <x:c r="H23" s="17" t="str">
        <x:v>主要な内容は正しいと判断</x:v>
      </x:c>
      <x:c r="I23" s="22" t="n">
        <x:f>IF(G23="正解",1,IF(G23="一部正解",0.5,IF(G23="不正解",0,"")))</x:f>
        <x:v>1</x:v>
      </x:c>
      <x:c r="J23" s="21" t="n">
        <x:v>0.096</x:v>
      </x:c>
    </x:row>
    <x:row r="24" ht="93" customHeight="1">
      <x:c r="A24" s="16" t="n">
        <x:v>21</x:v>
      </x:c>
      <x:c r="B24" s="17" t="str">
        <x:v>学習していない用語</x:v>
      </x:c>
      <x:c r="C24" s="17" t="str">
        <x:v>「Codespaces secret」とは何ですか？</x:v>
      </x:c>
      <x:c r="D24" s="17" t="str">
        <x:v>GitHubのアカウント設定に登録しておく秘密の値。指定したrepoのCodespacesを起動すると環境変数として渡される。登録時に使うrepo（自分のfork）を選ぶ必要がある。起動中に登録した場合はCodespacesの再起動が必要。</x:v>
      </x:c>
      <x:c r="E24" s="17" t="str">
        <x:v>「Codespaces secret」は、**GitHub のコードコンテナ（Code Spaces）のセキュリティ設定**を管理する機能です。
GitHub のコードコンテナは、開発者が自分のプロジェクトを GitHub のサーバー上で構築し、そのプロジェクトを共有する際に使用します。このコンテナには、**「Secrets（秘密）」**という機能があり、GitHub のサーバーにアクセスする必要があるユーザー（通常は開発者や管理者）が、コンテナ内の特定のファイルや設定を管理できます。
「Secrets」は、GitHub のサーバーにアクセスするユーザーが、コンテナ内のファイルや設定を管理する際に使用します。これにより、開発者がコンテナ内のファイルや設定を管理し、GitHub のサーバーにアクセスするユーザーが、コンテナ内のファイルや設定を管理する際に使用します。
**結論**
「Codespaces secret」は、GitHub のコードコンテナのセキュリティ設定を管理する機能です。GitHub のサーバーにアクセスする</x:v>
      </x:c>
      <x:c r="F24" s="18" t="str">
        <x:v>一部正解</x:v>
      </x:c>
      <x:c r="G24" s="20" t="str">
        <x:v>一部正解</x:v>
      </x:c>
      <x:c r="H24" s="17" t="str">
        <x:v>重要な内容に不足・不正確な箇所あり</x:v>
      </x:c>
      <x:c r="I24" s="22" t="n">
        <x:f>IF(G24="正解",1,IF(G24="一部正解",0.5,IF(G24="不正解",0,"")))</x:f>
        <x:v>0.5</x:v>
      </x:c>
      <x:c r="J24" s="21" t="n">
        <x:v>0.118</x:v>
      </x:c>
    </x:row>
    <x:row r="25" ht="93" customHeight="1">
      <x:c r="A25" s="16" t="n">
        <x:v>22</x:v>
      </x:c>
      <x:c r="B25" s="17" t="str">
        <x:v>学習していない用語</x:v>
      </x:c>
      <x:c r="C25" s="17" t="str">
        <x:v>「ブランチ」とは何ですか？</x:v>
      </x:c>
      <x:c r="D25" s="17" t="str">
        <x:v>作業の流れを分けるための仕組み。main を壊さずに変更を試し、まとまったらPRで main に取り込む。本講座では回ごとに lec01 のような作業ブランチを作る。</x:v>
      </x:c>
      <x:c r="E25" s="17" t="str">
        <x:v>「ブランチ（branching）」は、**ソフトウェア開発**において、**プロジェクトの分岐点**や**分岐点**を指します。
簡単に言うと、一つのプロジェクトが複数の異なる方向（分岐点）に進むことで、各分岐点には独立したプロジェクトが生まれる現象を指します。
### 具体的な例
*   **プロジェクトの分岐点**
    会社 A が「Web サイトの作成」を始めた場合、会社 B が「Web サイトの作成」を始めた場合、会社 C が「Web サイトの作成」を始めた場合など、各プロジェクトは独立して進められます。
    *   **例**: 会社 A が「Web サイトの作成」を始めた場合、会社 B が「Web サイトの作成」を始めた場合、会社 C が「Web サイトの作成」を始めた場合。
*   **プロジェクトの分岐点**
    会社 A が「Web</x:v>
      </x:c>
      <x:c r="F25" s="18" t="str">
        <x:v>一部正解</x:v>
      </x:c>
      <x:c r="G25" s="20" t="str">
        <x:v>一部正解</x:v>
      </x:c>
      <x:c r="H25" s="17" t="str">
        <x:v>重要な内容に不足・不正確な箇所あり</x:v>
      </x:c>
      <x:c r="I25" s="22" t="n">
        <x:f>IF(G25="正解",1,IF(G25="一部正解",0.5,IF(G25="不正解",0,"")))</x:f>
        <x:v>0.5</x:v>
      </x:c>
      <x:c r="J25" s="21" t="n">
        <x:v>0.025</x:v>
      </x:c>
    </x:row>
    <x:row r="26" ht="93" customHeight="1">
      <x:c r="A26" s="16" t="n">
        <x:v>23</x:v>
      </x:c>
      <x:c r="B26" s="17" t="str">
        <x:v>学習していない用語</x:v>
      </x:c>
      <x:c r="C26" s="17" t="str">
        <x:v>「宿題の3レベル」とは何ですか？</x:v>
      </x:c>
      <x:c r="D26" s="17" t="str">
        <x:v>AIE2026の宿題の構成。「基礎（講義内容の確認）」「実装（自分でコードを書く）」「発展（調査や試行）」の3段階があり、どれか1つに取り組めばその回の宿題は完了。原則として採点はしない。</x:v>
      </x:c>
      <x:c r="E26" s="17" t="str">
        <x:v>「宿題の 3 レベル」とは、**学習や課題の進捗管理において、段階的に進めていくべき 3 つのレベル**を指します。
この概念は、特に**「学習の進捗管理（学習進捗管理）」**や**「課題の進捗管理（課題進捗管理）」**において非常に重要な概念です。単に「3 つのレベル」を指すだけでなく、**「レベル 1（基礎）、レベル 2（応用）、レベル 3（深化）」**という構成が一般的です。
それぞれのレベルについて解説します。
### 1. レベル 1: 基礎レベル（基礎知識の掌握）
このレベルでは、**「何をすべきか」を明確にします。**
*   **目的:** 基礎知識や基本概念を確実に理解し、正しい方向性（方向性）を掴みます。
*   **内容:** 基本的な定義、</x:v>
      </x:c>
      <x:c r="F26" s="18" t="str">
        <x:v>不正解</x:v>
      </x:c>
      <x:c r="G26" s="20" t="str">
        <x:v>不正解</x:v>
      </x:c>
      <x:c r="H26" s="17" t="str">
        <x:v>主旨が異なる、または誤情報・根拠のない断定</x:v>
      </x:c>
      <x:c r="I26" s="22" t="n">
        <x:f>IF(G26="正解",1,IF(G26="一部正解",0.5,IF(G26="不正解",0,"")))</x:f>
        <x:v>0</x:v>
      </x:c>
      <x:c r="J26" s="21" t="n">
        <x:v>0.051</x:v>
      </x:c>
    </x:row>
    <x:row r="27" ht="93" customHeight="1">
      <x:c r="A27" s="16" t="n">
        <x:v>24</x:v>
      </x:c>
      <x:c r="B27" s="17" t="str">
        <x:v>学習していない用語</x:v>
      </x:c>
      <x:c r="C27" s="17" t="str">
        <x:v>「評価と改善のサイクル」とは何ですか？</x:v>
      </x:c>
      <x:c r="D27" s="17" t="str">
        <x:v>作る→測る→直すを繰り返す開発の進め方。AIアプリは出力が確率的に揺れるため、感覚ではなく評価データや指標で良し悪しを判断し、その結果をもとにプロンプト・データ・モデル・ツールを改善する。本講座では学習支援エージェントを題材に、回をまたいでこのサイクルを回す。</x:v>
      </x:c>
      <x:c r="E27" s="17" t="str">
        <x:v>「評価と改善のサイクル」とは、**組織やプロジェクトの改善プロセス**を説明する一般的な概念です。
このサイクルは、**「評価（評価結果）」→「改善（改善行動）」→「再評価（再評価結果）」**という一連のステップを繰り返すものとして考えられます。
具体的には、以下の 3 つの要素が組み合わさることでこのサイクルが機能します。
1.  **評価（評価結果）**
    *   目標達成度や成果、パフォーマンス、顧客満足度などを測定・評価します。
    *   結果は「良い」「良い」「良い」などの評価値（スコア）として出ます。
2.  **改善（改善行動）**
    *   評価結果に基づいて、組織やプロジェクトが改善すべき点や改善策を決定し、実際に実行します。
    *   例：評価が「低く」→ 改善策</x:v>
      </x:c>
      <x:c r="F27" s="18" t="str">
        <x:v>正解</x:v>
      </x:c>
      <x:c r="G27" s="20" t="str">
        <x:v>正解</x:v>
      </x:c>
      <x:c r="H27" s="17" t="str">
        <x:v>主要な内容は正しいと判断</x:v>
      </x:c>
      <x:c r="I27" s="22" t="n">
        <x:f>IF(G27="正解",1,IF(G27="一部正解",0.5,IF(G27="不正解",0,"")))</x:f>
        <x:v>1</x:v>
      </x:c>
      <x:c r="J27" s="21" t="n">
        <x:v>0.093</x:v>
      </x:c>
    </x:row>
    <x:row r="28" ht="93" customHeight="1">
      <x:c r="A28" s="16" t="n">
        <x:v>25</x:v>
      </x:c>
      <x:c r="B28" s="17" t="str">
        <x:v>学習していない用語</x:v>
      </x:c>
      <x:c r="C28" s="17" t="str">
        <x:v>「temperature」とは何ですか？</x:v>
      </x:c>
      <x:c r="D28" s="17" t="str">
        <x:v>次のトークンを選ぶときのランダムさを調整する設定値。低いほど出力が安定し、高いほど多様になる。同じ質問でも回答が変わる理由の一つ。</x:v>
      </x:c>
      <x:c r="E28" s="17" t="str">
        <x:v>「temperature」は、**温度**（熱の強さ）を表す**数値**です。
この言葉は、物理学や化学、生物学、工学などの分野で広く使われます。具体的には、物体の温度がどの程度高いかを表す数値（例：0°C、25°C、100°C など）を指します。
また、日本語では「温度」という言葉自体が、**「温度」**という概念を指す言葉として使われることもありますが、英語の「temperature」は「温度」を単に「温度」として扱います。
例えば、冷蔵庫の温度は「20°C」、エアコンの温度は「26°C」、あるいは地球の平均気温は「21°C」といったように、数値で表現されます。</x:v>
      </x:c>
      <x:c r="F28" s="18" t="str">
        <x:v>不正解</x:v>
      </x:c>
      <x:c r="G28" s="20" t="str">
        <x:v>不正解</x:v>
      </x:c>
      <x:c r="H28" s="17" t="str">
        <x:v>主旨が異なる、または誤情報・根拠のない断定</x:v>
      </x:c>
      <x:c r="I28" s="22" t="n">
        <x:f>IF(G28="正解",1,IF(G28="一部正解",0.5,IF(G28="不正解",0,"")))</x:f>
        <x:v>0</x:v>
      </x:c>
      <x:c r="J28" s="21" t="n">
        <x:v>0.062</x:v>
      </x:c>
    </x:row>
    <x:row r="29" ht="93" customHeight="1">
      <x:c r="A29" s="16" t="n">
        <x:v>26</x:v>
      </x:c>
      <x:c r="B29" s="17" t="str">
        <x:v>用語集にない架空語</x:v>
      </x:c>
      <x:c r="C29" s="17" t="str">
        <x:v>講座の用語集にある『架空のゼータ伝播法』とは何ですか？</x:v>
      </x:c>
      <x:c r="D29" s="17" t="str">
        <x:v>用語集に記載がありません。</x:v>
      </x:c>
      <x:c r="E29" s="17" t="str">
        <x:v>「架空のゼータ伝播法」という用語は、**物理学や数学の分野でよく使われる「ゼータ関数（ゼータ関数）」**を指します。
この言葉は、**エドワード・ゼータ（Edward G. Watson）**によって、1930 年代に発表された**「ゼータ関数」の定義や性質を整理した著作**（特に『ゼータ関数』）から派生したものです。
### 解説
1.  **何の性質があるのか？**
    *   ゼータ関数は、複素数 $s$ を $s = 1 + \epsilon$（$\epsilon$ は微分開の値）で割った値を $2\pi i$ で割った値として定義されます。
    *   具体的な形は、以下の式で表されます。
        $$ \zeta(s) = \frac{1}{2</x:v>
      </x:c>
      <x:c r="F29" s="18" t="str">
        <x:v>不正解</x:v>
      </x:c>
      <x:c r="G29" s="20" t="str">
        <x:v>不正解</x:v>
      </x:c>
      <x:c r="H29" s="17" t="str">
        <x:v>主旨が異なる、または誤情報・根拠のない断定</x:v>
      </x:c>
      <x:c r="I29" s="22" t="n">
        <x:f>IF(G29="正解",1,IF(G29="一部正解",0.5,IF(G29="不正解",0,"")))</x:f>
        <x:v>0</x:v>
      </x:c>
      <x:c r="J29" s="21" t="n">
        <x:v>0.039</x:v>
      </x:c>
    </x:row>
    <x:row r="30" ht="93" customHeight="1">
      <x:c r="A30" s="16" t="n">
        <x:v>27</x:v>
      </x:c>
      <x:c r="B30" s="17" t="str">
        <x:v>用語集にない架空語</x:v>
      </x:c>
      <x:c r="C30" s="17" t="str">
        <x:v>講座の用語集にある『ミラージュ重み圧縮』とは何ですか？</x:v>
      </x:c>
      <x:c r="D30" s="17" t="str">
        <x:v>用語集に記載がありません。</x:v>
      </x:c>
      <x:c r="E30" s="17" t="str">
        <x:v>「ミラージュ重み圧縮」という用語は、**「ミラージュ（ミラージュ）」**という用語を**「重み圧縮（重み圧縮）」**という用語に置き換えることで、**「重み圧縮（重み圧縮）」**という用語を**「ミラージュ（ミラージュ）」**という用語に置き換える**「ミラージュ重み圧縮」**という用語を指します。
この用語は、**「ミラージュ重み圧縮」**という用語を**「ミラージュ重み圧縮」**という用語に置き換える**「ミラージュ重み圧縮」**という用語を指します。
この用語は、**「ミラージュ重み圧縮」**という用語を**「ミラージュ重み圧縮」**という用語に置き換える**「ミラージュ重み圧縮」**という用語を指します。
この用語</x:v>
      </x:c>
      <x:c r="F30" s="18" t="str">
        <x:v>不正解</x:v>
      </x:c>
      <x:c r="G30" s="20" t="str">
        <x:v>不正解</x:v>
      </x:c>
      <x:c r="H30" s="17" t="str">
        <x:v>主旨が異なる、または誤情報・根拠のない断定</x:v>
      </x:c>
      <x:c r="I30" s="22" t="n">
        <x:f>IF(G30="正解",1,IF(G30="一部正解",0.5,IF(G30="不正解",0,"")))</x:f>
        <x:v>0</x:v>
      </x:c>
      <x:c r="J30" s="21" t="n">
        <x:v>0.03</x:v>
      </x:c>
    </x:row>
    <x:row r="31" ht="93" customHeight="1">
      <x:c r="A31" s="16" t="n">
        <x:v>28</x:v>
      </x:c>
      <x:c r="B31" s="17" t="str">
        <x:v>用語集にない架空語</x:v>
      </x:c>
      <x:c r="C31" s="17" t="str">
        <x:v>講座の用語集にある『仮想のオメガ評価器』とは何ですか？</x:v>
      </x:c>
      <x:c r="D31" s="17" t="str">
        <x:v>用語集に記載がありません。</x:v>
      </x:c>
      <x:c r="E31" s="17" t="str">
        <x:v>「仮想のオメガ評価器」（Virtual Omega Evaluation Tool / V-Omega）は、**「オメガ（Omega）」という概念を「オメガ評価器（Omega Evaluation Tool）」として機能させるためのソフトウェアやツール**です。
この用語集（または一般的な「オメガ評価器」の定義）では、主に以下のような目的や機能として定義されています。
1.  **オメガの定義を拡張・拡張する**
    従来の「オメガ」は、単に「大規模なシステム」や「巨大なプロジェクト」を指すことが多いですが、この評価器では、単に「大規模なシステム」を指すだけでなく、**「大規模なシステム + 大規模なプロジェクト + 大規模な組織」**という多層的な概念を包含する概念として定義されています。
    *   例：「大規模なシステム」→「大規模なシステム + 大規模なプロジェクト + 大</x:v>
      </x:c>
      <x:c r="F31" s="18" t="str">
        <x:v>不正解</x:v>
      </x:c>
      <x:c r="G31" s="20" t="str">
        <x:v>不正解</x:v>
      </x:c>
      <x:c r="H31" s="17" t="str">
        <x:v>主旨が異なる、または誤情報・根拠のない断定</x:v>
      </x:c>
      <x:c r="I31" s="22" t="n">
        <x:f>IF(G31="正解",1,IF(G31="一部正解",0.5,IF(G31="不正解",0,"")))</x:f>
        <x:v>0</x:v>
      </x:c>
      <x:c r="J31" s="21" t="n">
        <x:v>0.024</x:v>
      </x:c>
    </x:row>
    <x:row r="32" ht="93" customHeight="1">
      <x:c r="A32" s="16" t="n">
        <x:v>29</x:v>
      </x:c>
      <x:c r="B32" s="17" t="str">
        <x:v>用語集にない架空語</x:v>
      </x:c>
      <x:c r="C32" s="17" t="str">
        <x:v>講座の用語集にある『架空のルナ推論器』とは何ですか？</x:v>
      </x:c>
      <x:c r="D32" s="17" t="str">
        <x:v>用語集に記載がありません。</x:v>
      </x:c>
      <x:c r="E32" s="17" t="str">
        <x:v>「架空のルナ推論器」という用語は、**「ルナ推論器（ルナ・アデモ）」**という、架空の数学・物理学の理論であり、**「ルナ・アデモの推論器（推論器）」**を指します。
この推論器は、**「ルナ・アデモ」**という人物によって創設されました。その主な目的は、**「数学の証明が非実用化された場合」**や**「数学の証明が非常に困難な場合」**において、**「数学の証明が成立する」**という**「非実用化された数学」**を**「実用化された数学」**に変換する**という**「非実用化された数学」→「実用化された数学」**の**「非実用化された数学」→「非実用化された数学」**という**「非実用化された数学」→「非実</x:v>
      </x:c>
      <x:c r="F32" s="18" t="str">
        <x:v>不正解</x:v>
      </x:c>
      <x:c r="G32" s="20" t="str">
        <x:v>不正解</x:v>
      </x:c>
      <x:c r="H32" s="17" t="str">
        <x:v>主旨が異なる、または誤情報・根拠のない断定</x:v>
      </x:c>
      <x:c r="I32" s="22" t="n">
        <x:f>IF(G32="正解",1,IF(G32="一部正解",0.5,IF(G32="不正解",0,"")))</x:f>
        <x:v>0</x:v>
      </x:c>
      <x:c r="J32" s="21" t="n">
        <x:v>0.037</x:v>
      </x:c>
    </x:row>
    <x:row r="33" ht="93" customHeight="1">
      <x:c r="A33" s="16" t="n">
        <x:v>30</x:v>
      </x:c>
      <x:c r="B33" s="17" t="str">
        <x:v>用語集にない架空語</x:v>
      </x:c>
      <x:c r="C33" s="17" t="str">
        <x:v>講座の用語集にある『ネビュラ蒸留係数』とは何ですか？</x:v>
      </x:c>
      <x:c r="D33" s="17" t="str">
        <x:v>用語集に記載がありません。</x:v>
      </x:c>
      <x:c r="E33" s="17" t="str">
        <x:v>**ネビュラ蒸留係数**（ネビュラ係数）は、**ネビュラ（Neumann）方程式**や**ネビュラ積分**において、**線形変換**（特に**スカラー変換**や**ベクトル変換**）を適用した際、**変換行列**（変換係数）の**行列行列**として定義される係数です。
この用語は、数学の分野（特に線代や微分方程式）において、変換行列の行列行列を指します。
### 基本的な定義
ネビュラ蒸留係数 $N$ は、変換行列 $A$（変換係数）に対して、以下の関係式を定義します。
$$
N = A^T A
$$
ここで、$A^T$ は変換行列 $A$ の**転置（転置行列）**を表します。</x:v>
      </x:c>
      <x:c r="F33" s="18" t="str">
        <x:v>不正解</x:v>
      </x:c>
      <x:c r="G33" s="20" t="str">
        <x:v>不正解</x:v>
      </x:c>
      <x:c r="H33" s="17" t="str">
        <x:v>主旨が異なる、または誤情報・根拠のない断定</x:v>
      </x:c>
      <x:c r="I33" s="22" t="n">
        <x:f>IF(G33="正解",1,IF(G33="一部正解",0.5,IF(G33="不正解",0,"")))</x:f>
        <x:v>0</x:v>
      </x:c>
      <x:c r="J33" s="21" t="n">
        <x:v>0.032</x:v>
      </x:c>
    </x:row>
  </x:sheetData>
  <x:dataValidations count="1">
    <x:dataValidation type="list" sqref="G4:G33">
      <x:formula1>"正解,一部正解,不正解"</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8" hidden="0" customWidth="1"/>
    <x:col min="2" max="2" width="22" hidden="0" customWidth="1"/>
    <x:col min="3" max="3" width="42" hidden="0" customWidth="1"/>
    <x:col min="4" max="4" width="72" hidden="0" customWidth="1"/>
    <x:col min="5" max="5" width="85" hidden="0" customWidth="1"/>
    <x:col min="6" max="6" width="16" hidden="0" customWidth="1"/>
    <x:col min="7" max="7" width="18" hidden="0" customWidth="1"/>
    <x:col min="8" max="8" width="39" hidden="0" customWidth="1"/>
    <x:col min="9" max="9" width="10" hidden="0" customWidth="1"/>
    <x:col min="10" max="10" width="16" hidden="0" customWidth="1"/>
  </x:cols>
  <x:sheetData>
    <x:row r="1">
      <x:c r="A1" s="4" t="str">
        <x:v>用語集検索：回答別の採点確認</x:v>
      </x:c>
    </x:row>
    <x:row r="2">
      <x:c r="A2" t="str">
        <x:v>G列の黄色いセルは変更できます。F列の仮判定は固定して残します。</x:v>
      </x:c>
    </x:row>
    <x:row r="3" ht="32" customHeight="1">
      <x:c r="A3" s="6" t="str">
        <x:v>No.</x:v>
      </x:c>
      <x:c r="B3" s="6" t="str">
        <x:v>問題区分</x:v>
      </x:c>
      <x:c r="C3" s="6" t="str">
        <x:v>質問</x:v>
      </x:c>
      <x:c r="D3" s="6" t="str">
        <x:v>正解文</x:v>
      </x:c>
      <x:c r="E3" s="6" t="str">
        <x:v>モデルの回答</x:v>
      </x:c>
      <x:c r="F3" s="6" t="str">
        <x:v>仮判定</x:v>
      </x:c>
      <x:c r="G3" s="6" t="str">
        <x:v>確認後の判定</x:v>
      </x:c>
      <x:c r="H3" s="6" t="str">
        <x:v>仮判定の理由・確認メモ</x:v>
      </x:c>
      <x:c r="I3" s="6" t="str">
        <x:v>得点</x:v>
      </x:c>
      <x:c r="J3" s="6" t="str">
        <x:v>文字列類似度</x:v>
      </x:c>
    </x:row>
    <x:row r="4" ht="93" customHeight="1">
      <x:c r="A4" s="16" t="n">
        <x:v>1</x:v>
      </x:c>
      <x:c r="B4" s="17" t="str">
        <x:v>学習に使用した質問</x:v>
      </x:c>
      <x:c r="C4" s="17" t="str">
        <x:v>「ガードレール」とは何ですか？</x:v>
      </x:c>
      <x:c r="D4" s="17" t="str">
        <x:v>エージェントが望ましくない行動や出力をしないように設ける制約や検査。指示文でのルール、ツールの権限を絞る、出力をチェックする、重要な操作の前に人の確認を挟む、などの方法がある。</x:v>
      </x:c>
      <x:c r="E4" s="17" t="str">
        <x:v>エージェントが望ましくない行動や出力をしないように設ける制約や検査。指示文でのルール、ツールの権限を絞る、出力をチェックする、重要な操作の前に人の確認を挟む、などの方法がある。</x:v>
      </x:c>
      <x:c r="F4" s="18" t="str">
        <x:v>正解</x:v>
      </x:c>
      <x:c r="G4" s="20" t="str">
        <x:v>正解</x:v>
      </x:c>
      <x:c r="H4" s="17" t="str">
        <x:v>主要な内容は正しいと判断</x:v>
      </x:c>
      <x:c r="I4" s="22" t="n">
        <x:f>IF(G4="正解",1,IF(G4="一部正解",0.5,IF(G4="不正解",0,"")))</x:f>
        <x:v>1</x:v>
      </x:c>
      <x:c r="J4" s="21"/>
    </x:row>
    <x:row r="5" ht="93" customHeight="1">
      <x:c r="A5" s="16" t="n">
        <x:v>2</x:v>
      </x:c>
      <x:c r="B5" s="17" t="str">
        <x:v>別の聞き方</x:v>
      </x:c>
      <x:c r="C5" s="17" t="str">
        <x:v>この講座でいう『ガードレール』の意味と要点を説明してください。</x:v>
      </x:c>
      <x:c r="D5" s="17" t="str">
        <x:v>エージェントが望ましくない行動や出力をしないように設ける制約や検査。指示文でのルール、ツールの権限を絞る、出力をチェックする、重要な操作の前に人の確認を挟む、などの方法がある。</x:v>
      </x:c>
      <x:c r="E5" s="17" t="str">
        <x:v>エージェントが望ましくない行動や出力をしないように設ける制約や検査。指示文でのルール、ツールの権限を絞る、出力をチェックする、重要な操作の前に人の確認を挟む、などの方法がある。</x:v>
      </x:c>
      <x:c r="F5" s="18" t="str">
        <x:v>正解</x:v>
      </x:c>
      <x:c r="G5" s="20" t="str">
        <x:v>正解</x:v>
      </x:c>
      <x:c r="H5" s="17" t="str">
        <x:v>主要な内容は正しいと判断</x:v>
      </x:c>
      <x:c r="I5" s="22" t="n">
        <x:f>IF(G5="正解",1,IF(G5="一部正解",0.5,IF(G5="不正解",0,"")))</x:f>
        <x:v>1</x:v>
      </x:c>
      <x:c r="J5" s="21"/>
    </x:row>
    <x:row r="6" ht="93" customHeight="1">
      <x:c r="A6" s="16" t="n">
        <x:v>3</x:v>
      </x:c>
      <x:c r="B6" s="17" t="str">
        <x:v>学習に使用した質問</x:v>
      </x:c>
      <x:c r="C6" s="17" t="str">
        <x:v>「ファインチューニング」とは何ですか？</x:v>
      </x:c>
      <x:c r="D6"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6"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F6" s="18" t="str">
        <x:v>正解</x:v>
      </x:c>
      <x:c r="G6" s="20" t="str">
        <x:v>正解</x:v>
      </x:c>
      <x:c r="H6" s="17" t="str">
        <x:v>主要な内容は正しいと判断</x:v>
      </x:c>
      <x:c r="I6" s="22" t="n">
        <x:f>IF(G6="正解",1,IF(G6="一部正解",0.5,IF(G6="不正解",0,"")))</x:f>
        <x:v>1</x:v>
      </x:c>
      <x:c r="J6" s="21"/>
    </x:row>
    <x:row r="7" ht="93" customHeight="1">
      <x:c r="A7" s="16" t="n">
        <x:v>4</x:v>
      </x:c>
      <x:c r="B7" s="17" t="str">
        <x:v>別の聞き方</x:v>
      </x:c>
      <x:c r="C7" s="17" t="str">
        <x:v>この講座でいう『ファインチューニング』の意味と要点を説明してください。</x:v>
      </x:c>
      <x:c r="D7"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E7" s="17" t="str">
        <x:v>事前学習済みモデルを、特定のタスクや形式に合ったデータで追加学習させること。出力の形式や口調、特定ドメインの振る舞いを身につけさせるのに向く。最新の事実を覚えさせる用途には、ツールやRAGで外部データを参照させるほうが向くことが多い。</x:v>
      </x:c>
      <x:c r="F7" s="18" t="str">
        <x:v>正解</x:v>
      </x:c>
      <x:c r="G7" s="20" t="str">
        <x:v>正解</x:v>
      </x:c>
      <x:c r="H7" s="17" t="str">
        <x:v>主要な内容は正しいと判断</x:v>
      </x:c>
      <x:c r="I7" s="22" t="n">
        <x:f>IF(G7="正解",1,IF(G7="一部正解",0.5,IF(G7="不正解",0,"")))</x:f>
        <x:v>1</x:v>
      </x:c>
      <x:c r="J7" s="21"/>
    </x:row>
    <x:row r="8" ht="93" customHeight="1">
      <x:c r="A8" s="16" t="n">
        <x:v>5</x:v>
      </x:c>
      <x:c r="B8" s="17" t="str">
        <x:v>学習に使用した質問</x:v>
      </x:c>
      <x:c r="C8" s="17" t="str">
        <x:v>「MCPサーバー」とは何ですか？</x:v>
      </x:c>
      <x:c r="D8"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8"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F8" s="18" t="str">
        <x:v>正解</x:v>
      </x:c>
      <x:c r="G8" s="20" t="str">
        <x:v>正解</x:v>
      </x:c>
      <x:c r="H8" s="17" t="str">
        <x:v>主要な内容は正しいと判断</x:v>
      </x:c>
      <x:c r="I8" s="22" t="n">
        <x:f>IF(G8="正解",1,IF(G8="一部正解",0.5,IF(G8="不正解",0,"")))</x:f>
        <x:v>1</x:v>
      </x:c>
      <x:c r="J8" s="21"/>
    </x:row>
    <x:row r="9" ht="93" customHeight="1">
      <x:c r="A9" s="16" t="n">
        <x:v>6</x:v>
      </x:c>
      <x:c r="B9" s="17" t="str">
        <x:v>別の聞き方</x:v>
      </x:c>
      <x:c r="C9" s="17" t="str">
        <x:v>この講座でいう『MCPサーバー』の意味と要点を説明してください。</x:v>
      </x:c>
      <x:c r="D9"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E9" s="17" t="str">
        <x:v>MCPでツール（やリソース、プロンプト）を公開する側のプログラム。公開するのはツールの名前・説明文・引数のスキーマで、クライアントの要求に応じてツールを実行し結果を返す。本講座では用語集の検索をMCPサーバーにする（app/mcp_server.py）。公開されている既製のサーバー（fetch、filesystem、GitHubなど）も多い。</x:v>
      </x:c>
      <x:c r="F9" s="18" t="str">
        <x:v>正解</x:v>
      </x:c>
      <x:c r="G9" s="20" t="str">
        <x:v>正解</x:v>
      </x:c>
      <x:c r="H9" s="17" t="str">
        <x:v>主要な内容は正しいと判断</x:v>
      </x:c>
      <x:c r="I9" s="22" t="n">
        <x:f>IF(G9="正解",1,IF(G9="一部正解",0.5,IF(G9="不正解",0,"")))</x:f>
        <x:v>1</x:v>
      </x:c>
      <x:c r="J9" s="21"/>
    </x:row>
    <x:row r="10" ht="93" customHeight="1">
      <x:c r="A10" s="16" t="n">
        <x:v>7</x:v>
      </x:c>
      <x:c r="B10" s="17" t="str">
        <x:v>学習に使用した質問</x:v>
      </x:c>
      <x:c r="C10" s="17" t="str">
        <x:v>「環境変数」とは何ですか？</x:v>
      </x:c>
      <x:c r="D10" s="17" t="str">
        <x:v>プログラムの外側（OSや実行環境）で設定し、プログラムから名前で読み出せる値。APIキーのような秘密情報や、環境ごとに変わる設定をコードから切り離すために使う。</x:v>
      </x:c>
      <x:c r="E10" s="17" t="str">
        <x:v>プログラムの外側（OSや実行環境）で設定し、プログラムから名前で読み出せる値。APIキーのような秘密情報や、環境ごとに変わる設定をコードから切り離すために使う。</x:v>
      </x:c>
      <x:c r="F10" s="18" t="str">
        <x:v>正解</x:v>
      </x:c>
      <x:c r="G10" s="20" t="str">
        <x:v>正解</x:v>
      </x:c>
      <x:c r="H10" s="17" t="str">
        <x:v>主要な内容は正しいと判断</x:v>
      </x:c>
      <x:c r="I10" s="22" t="n">
        <x:f>IF(G10="正解",1,IF(G10="一部正解",0.5,IF(G10="不正解",0,"")))</x:f>
        <x:v>1</x:v>
      </x:c>
      <x:c r="J10" s="21"/>
    </x:row>
    <x:row r="11" ht="93" customHeight="1">
      <x:c r="A11" s="16" t="n">
        <x:v>8</x:v>
      </x:c>
      <x:c r="B11" s="17" t="str">
        <x:v>別の聞き方</x:v>
      </x:c>
      <x:c r="C11" s="17" t="str">
        <x:v>この講座でいう『環境変数』の意味と要点を説明してください。</x:v>
      </x:c>
      <x:c r="D11" s="17" t="str">
        <x:v>プログラムの外側（OSや実行環境）で設定し、プログラムから名前で読み出せる値。APIキーのような秘密情報や、環境ごとに変わる設定をコードから切り離すために使う。</x:v>
      </x:c>
      <x:c r="E11" s="17" t="str">
        <x:v>プログラムの外側（OSや実行環境）で設定し、プログラムから名前で読み出せる値。APIキーのような秘密情報や、環境ごとに変わる設定をコードから切り離すために使う。</x:v>
      </x:c>
      <x:c r="F11" s="18" t="str">
        <x:v>正解</x:v>
      </x:c>
      <x:c r="G11" s="20" t="str">
        <x:v>正解</x:v>
      </x:c>
      <x:c r="H11" s="17" t="str">
        <x:v>主要な内容は正しいと判断</x:v>
      </x:c>
      <x:c r="I11" s="22" t="n">
        <x:f>IF(G11="正解",1,IF(G11="一部正解",0.5,IF(G11="不正解",0,"")))</x:f>
        <x:v>1</x:v>
      </x:c>
      <x:c r="J11" s="21"/>
    </x:row>
    <x:row r="12" ht="93" customHeight="1">
      <x:c r="A12" s="16" t="n">
        <x:v>9</x:v>
      </x:c>
      <x:c r="B12" s="17" t="str">
        <x:v>学習に使用した質問</x:v>
      </x:c>
      <x:c r="C12" s="17" t="str">
        <x:v>「fork」とは何ですか？</x:v>
      </x:c>
      <x:c r="D12" s="17" t="str">
        <x:v>他人のrepoを自分のアカウントに丸ごとコピーすること。本講座では講座repoをforkし、自分のfork上で作業・提出する。</x:v>
      </x:c>
      <x:c r="E12" s="17" t="str">
        <x:v>他人のrepoを自分のアカウントに丸ごとコピーすること。本講座では講座repoをforkし、自分のfork上で作業・提出する。</x:v>
      </x:c>
      <x:c r="F12" s="18" t="str">
        <x:v>正解</x:v>
      </x:c>
      <x:c r="G12" s="20" t="str">
        <x:v>正解</x:v>
      </x:c>
      <x:c r="H12" s="17" t="str">
        <x:v>主要な内容は正しいと判断</x:v>
      </x:c>
      <x:c r="I12" s="22" t="n">
        <x:f>IF(G12="正解",1,IF(G12="一部正解",0.5,IF(G12="不正解",0,"")))</x:f>
        <x:v>1</x:v>
      </x:c>
      <x:c r="J12" s="21"/>
    </x:row>
    <x:row r="13" ht="93" customHeight="1">
      <x:c r="A13" s="16" t="n">
        <x:v>10</x:v>
      </x:c>
      <x:c r="B13" s="17" t="str">
        <x:v>別の聞き方</x:v>
      </x:c>
      <x:c r="C13" s="17" t="str">
        <x:v>この講座でいう『fork』の意味と要点を説明してください。</x:v>
      </x:c>
      <x:c r="D13" s="17" t="str">
        <x:v>他人のrepoを自分のアカウントに丸ごとコピーすること。本講座では講座repoをforkし、自分のfork上で作業・提出する。</x:v>
      </x:c>
      <x:c r="E13" s="17" t="str">
        <x:v>他人のrepoを自分のアカウントに丸ごとコピーすること。本講座では講座repoをforkし、自分のfork上で作業・提出する。</x:v>
      </x:c>
      <x:c r="F13" s="18" t="str">
        <x:v>正解</x:v>
      </x:c>
      <x:c r="G13" s="20" t="str">
        <x:v>正解</x:v>
      </x:c>
      <x:c r="H13" s="17" t="str">
        <x:v>主要な内容は正しいと判断</x:v>
      </x:c>
      <x:c r="I13" s="22" t="n">
        <x:f>IF(G13="正解",1,IF(G13="一部正解",0.5,IF(G13="不正解",0,"")))</x:f>
        <x:v>1</x:v>
      </x:c>
      <x:c r="J13" s="21"/>
    </x:row>
    <x:row r="14" ht="93" customHeight="1">
      <x:c r="A14" s="16" t="n">
        <x:v>11</x:v>
      </x:c>
      <x:c r="B14" s="17" t="str">
        <x:v>学習に使用した質問</x:v>
      </x:c>
      <x:c r="C14" s="17" t="str">
        <x:v>「コード補完」とは何ですか？</x:v>
      </x:c>
      <x:c r="D14" s="17" t="str">
        <x:v>書きかけのコードやコメントから、続きのコードをAIが提案する機能。Tabキーなどで受け入れる。提案は正しいとは限らないので、読んで理解してから採用する。</x:v>
      </x:c>
      <x:c r="E14" s="17" t="str">
        <x:v>書きかけのコードやコメントから、続きのコードをAIが提案する機能。Tabキーなどで受け入れる。提案は正しいとは限らないので、読んで理解してから採用する。</x:v>
      </x:c>
      <x:c r="F14" s="18" t="str">
        <x:v>正解</x:v>
      </x:c>
      <x:c r="G14" s="20" t="str">
        <x:v>正解</x:v>
      </x:c>
      <x:c r="H14" s="17" t="str">
        <x:v>主要な内容は正しいと判断</x:v>
      </x:c>
      <x:c r="I14" s="22" t="n">
        <x:f>IF(G14="正解",1,IF(G14="一部正解",0.5,IF(G14="不正解",0,"")))</x:f>
        <x:v>1</x:v>
      </x:c>
      <x:c r="J14" s="21"/>
    </x:row>
    <x:row r="15" ht="93" customHeight="1">
      <x:c r="A15" s="16" t="n">
        <x:v>12</x:v>
      </x:c>
      <x:c r="B15" s="17" t="str">
        <x:v>別の聞き方</x:v>
      </x:c>
      <x:c r="C15" s="17" t="str">
        <x:v>この講座でいう『コード補完』の意味と要点を説明してください。</x:v>
      </x:c>
      <x:c r="D15" s="17" t="str">
        <x:v>書きかけのコードやコメントから、続きのコードをAIが提案する機能。Tabキーなどで受け入れる。提案は正しいとは限らないので、読んで理解してから採用する。</x:v>
      </x:c>
      <x:c r="E15" s="17" t="str">
        <x:v>書きかけのコードやコメントから、続きのコードをAIが提案する機能。Tabキーなどで受け入れる。提案は正しいとは限らないので、読んで理解してから採用する。</x:v>
      </x:c>
      <x:c r="F15" s="18" t="str">
        <x:v>正解</x:v>
      </x:c>
      <x:c r="G15" s="20" t="str">
        <x:v>正解</x:v>
      </x:c>
      <x:c r="H15" s="17" t="str">
        <x:v>主要な内容は正しいと判断</x:v>
      </x:c>
      <x:c r="I15" s="22" t="n">
        <x:f>IF(G15="正解",1,IF(G15="一部正解",0.5,IF(G15="不正解",0,"")))</x:f>
        <x:v>1</x:v>
      </x:c>
      <x:c r="J15" s="21"/>
    </x:row>
    <x:row r="16" ht="93" customHeight="1">
      <x:c r="A16" s="16" t="n">
        <x:v>13</x:v>
      </x:c>
      <x:c r="B16" s="17" t="str">
        <x:v>学習に使用した質問</x:v>
      </x:c>
      <x:c r="C16" s="17" t="str">
        <x:v>「MCPクライアント」とは何ですか？</x:v>
      </x:c>
      <x:c r="D16"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6"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F16" s="18" t="str">
        <x:v>正解</x:v>
      </x:c>
      <x:c r="G16" s="20" t="str">
        <x:v>正解</x:v>
      </x:c>
      <x:c r="H16" s="17" t="str">
        <x:v>主要な内容は正しいと判断</x:v>
      </x:c>
      <x:c r="I16" s="22" t="n">
        <x:f>IF(G16="正解",1,IF(G16="一部正解",0.5,IF(G16="不正解",0,"")))</x:f>
        <x:v>1</x:v>
      </x:c>
      <x:c r="J16" s="21"/>
    </x:row>
    <x:row r="17" ht="93" customHeight="1">
      <x:c r="A17" s="16" t="n">
        <x:v>14</x:v>
      </x:c>
      <x:c r="B17" s="17" t="str">
        <x:v>別の聞き方</x:v>
      </x:c>
      <x:c r="C17" s="17" t="str">
        <x:v>この講座でいう『MCPクライアント』の意味と要点を説明してください。</x:v>
      </x:c>
      <x:c r="D17"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E17" s="17" t="str">
        <x:v>MCPサーバーに接続し、公開されたツールをモデルに渡して、モデルの指示でツールを呼び出す側。エージェントのプログラム（Pydantic AIの MCPToolset）や、Copilot Chat・Claude Desktop・Cursorなどのエディタやアプリがクライアントになる。同じサーバーをどのクライアントからも使えるのがMCPの利点。</x:v>
      </x:c>
      <x:c r="F17" s="18" t="str">
        <x:v>正解</x:v>
      </x:c>
      <x:c r="G17" s="20" t="str">
        <x:v>正解</x:v>
      </x:c>
      <x:c r="H17" s="17" t="str">
        <x:v>主要な内容は正しいと判断</x:v>
      </x:c>
      <x:c r="I17" s="22" t="n">
        <x:f>IF(G17="正解",1,IF(G17="一部正解",0.5,IF(G17="不正解",0,"")))</x:f>
        <x:v>1</x:v>
      </x:c>
      <x:c r="J17" s="21"/>
    </x:row>
    <x:row r="18" ht="93" customHeight="1">
      <x:c r="A18" s="16" t="n">
        <x:v>15</x:v>
      </x:c>
      <x:c r="B18" s="17" t="str">
        <x:v>学習に使用した質問</x:v>
      </x:c>
      <x:c r="C18" s="17" t="str">
        <x:v>「ツールの名前空間」とは何ですか？</x:v>
      </x:c>
      <x:c r="D18"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8"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F18" s="18" t="str">
        <x:v>正解</x:v>
      </x:c>
      <x:c r="G18" s="20" t="str">
        <x:v>正解</x:v>
      </x:c>
      <x:c r="H18" s="17" t="str">
        <x:v>主要な内容は正しいと判断</x:v>
      </x:c>
      <x:c r="I18" s="22" t="n">
        <x:f>IF(G18="正解",1,IF(G18="一部正解",0.5,IF(G18="不正解",0,"")))</x:f>
        <x:v>1</x:v>
      </x:c>
      <x:c r="J18" s="21"/>
    </x:row>
    <x:row r="19" ht="93" customHeight="1">
      <x:c r="A19" s="16" t="n">
        <x:v>16</x:v>
      </x:c>
      <x:c r="B19" s="17" t="str">
        <x:v>別の聞き方</x:v>
      </x:c>
      <x:c r="C19" s="17" t="str">
        <x:v>この講座でいう『ツールの名前空間』の意味と要点を説明してください。</x:v>
      </x:c>
      <x:c r="D19"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E19" s="17" t="str">
        <x:v>複数のMCPサーバーを使うとき、同じ名前のツールを区別するために「サーバー名_ツール名」のように接頭辞を付けること。本講座の app/agent.py は設定ファイルのサーバー名を自動で付ける（例: glossary_search_glossary。Pydantic AIの load_mcp_toolsets も同じ）。ツールが増えるほどモデルに渡す説明文も増え、呼び分けの精度とトークン数に影響する。</x:v>
      </x:c>
      <x:c r="F19" s="18" t="str">
        <x:v>正解</x:v>
      </x:c>
      <x:c r="G19" s="20" t="str">
        <x:v>正解</x:v>
      </x:c>
      <x:c r="H19" s="17" t="str">
        <x:v>主要な内容は正しいと判断</x:v>
      </x:c>
      <x:c r="I19" s="22" t="n">
        <x:f>IF(G19="正解",1,IF(G19="一部正解",0.5,IF(G19="不正解",0,"")))</x:f>
        <x:v>1</x:v>
      </x:c>
      <x:c r="J19" s="21"/>
    </x:row>
    <x:row r="20" ht="93" customHeight="1">
      <x:c r="A20" s="16" t="n">
        <x:v>17</x:v>
      </x:c>
      <x:c r="B20" s="17" t="str">
        <x:v>学習に使用した質問</x:v>
      </x:c>
      <x:c r="C20" s="17" t="str">
        <x:v>「Hugging Face Hub」とは何ですか？</x:v>
      </x:c>
      <x:c r="D20" s="17" t="str">
        <x:v>公開されたモデルやデータセットを共有・ダウンロードできるプラットフォーム。オープンウェイトのモデルを入手したり、LoRAアダプタを公開したりするのに使われる。</x:v>
      </x:c>
      <x:c r="E20" s="17" t="str">
        <x:v>公開されたモデルやデータセットを共有・ダウンロードできるプラットフォーム。オープンウェイトのモデルを入手したり、LoRAアダプタを公開したりするのに使われる。</x:v>
      </x:c>
      <x:c r="F20" s="18" t="str">
        <x:v>正解</x:v>
      </x:c>
      <x:c r="G20" s="20" t="str">
        <x:v>正解</x:v>
      </x:c>
      <x:c r="H20" s="17" t="str">
        <x:v>主要な内容は正しいと判断</x:v>
      </x:c>
      <x:c r="I20" s="22" t="n">
        <x:f>IF(G20="正解",1,IF(G20="一部正解",0.5,IF(G20="不正解",0,"")))</x:f>
        <x:v>1</x:v>
      </x:c>
      <x:c r="J20" s="21"/>
    </x:row>
    <x:row r="21" ht="93" customHeight="1">
      <x:c r="A21" s="16" t="n">
        <x:v>18</x:v>
      </x:c>
      <x:c r="B21" s="17" t="str">
        <x:v>別の聞き方</x:v>
      </x:c>
      <x:c r="C21" s="17" t="str">
        <x:v>この講座でいう『Hugging Face Hub』の意味と要点を説明してください。</x:v>
      </x:c>
      <x:c r="D21" s="17" t="str">
        <x:v>公開されたモデルやデータセットを共有・ダウンロードできるプラットフォーム。オープンウェイトのモデルを入手したり、LoRAアダプタを公開したりするのに使われる。</x:v>
      </x:c>
      <x:c r="E21" s="17" t="str">
        <x:v>公開されたモデルやデータセットを共有・ダウンロードできるプラットフォーム。オープンウェイトのモデルを入手したり、LoRAアダプタを公開したりするのに使われる。</x:v>
      </x:c>
      <x:c r="F21" s="18" t="str">
        <x:v>正解</x:v>
      </x:c>
      <x:c r="G21" s="20" t="str">
        <x:v>正解</x:v>
      </x:c>
      <x:c r="H21" s="17" t="str">
        <x:v>主要な内容は正しいと判断</x:v>
      </x:c>
      <x:c r="I21" s="22" t="n">
        <x:f>IF(G21="正解",1,IF(G21="一部正解",0.5,IF(G21="不正解",0,"")))</x:f>
        <x:v>1</x:v>
      </x:c>
      <x:c r="J21" s="21"/>
    </x:row>
    <x:row r="22" ht="93" customHeight="1">
      <x:c r="A22" s="16" t="n">
        <x:v>19</x:v>
      </x:c>
      <x:c r="B22" s="17" t="str">
        <x:v>学習に使用した質問</x:v>
      </x:c>
      <x:c r="C22" s="17" t="str">
        <x:v>「GitHub Copilot」とは何ですか？</x:v>
      </x:c>
      <x:c r="D22" s="17" t="str">
        <x:v>GitHubのAIコーディング支援。エディタでのコード補完、チャットでの質問、エージェントモードでの複数ファイル編集などができる。無料のCopilot Freeは補完の回数とチャットの利用量に上限がある。</x:v>
      </x:c>
      <x:c r="E22" s="17" t="str">
        <x:v>GitHubのAIコーディング支援。エディタでのコード補完、チャットでの質問、エージェントモードでの複数ファイル編集などができる。無料のCopilot Freeは補完の回数とチャットの利用量に上限がある。</x:v>
      </x:c>
      <x:c r="F22" s="18" t="str">
        <x:v>正解</x:v>
      </x:c>
      <x:c r="G22" s="20" t="str">
        <x:v>正解</x:v>
      </x:c>
      <x:c r="H22" s="17" t="str">
        <x:v>主要な内容は正しいと判断</x:v>
      </x:c>
      <x:c r="I22" s="22" t="n">
        <x:f>IF(G22="正解",1,IF(G22="一部正解",0.5,IF(G22="不正解",0,"")))</x:f>
        <x:v>1</x:v>
      </x:c>
      <x:c r="J22" s="21"/>
    </x:row>
    <x:row r="23" ht="93" customHeight="1">
      <x:c r="A23" s="16" t="n">
        <x:v>20</x:v>
      </x:c>
      <x:c r="B23" s="17" t="str">
        <x:v>別の聞き方</x:v>
      </x:c>
      <x:c r="C23" s="17" t="str">
        <x:v>この講座でいう『GitHub Copilot』の意味と要点を説明してください。</x:v>
      </x:c>
      <x:c r="D23" s="17" t="str">
        <x:v>GitHubのAIコーディング支援。エディタでのコード補完、チャットでの質問、エージェントモードでの複数ファイル編集などができる。無料のCopilot Freeは補完の回数とチャットの利用量に上限がある。</x:v>
      </x:c>
      <x:c r="E23" s="17" t="str">
        <x:v>GitHubのAIコーディング支援。エディタでのコード補完、チャットでの質問、エージェントモードでの複数ファイル編集などができる。無料のCopilot Freeは補完の回数とチャットの利用量に上限がある。</x:v>
      </x:c>
      <x:c r="F23" s="18" t="str">
        <x:v>正解</x:v>
      </x:c>
      <x:c r="G23" s="20" t="str">
        <x:v>正解</x:v>
      </x:c>
      <x:c r="H23" s="17" t="str">
        <x:v>主要な内容は正しいと判断</x:v>
      </x:c>
      <x:c r="I23" s="22" t="n">
        <x:f>IF(G23="正解",1,IF(G23="一部正解",0.5,IF(G23="不正解",0,"")))</x:f>
        <x:v>1</x:v>
      </x:c>
      <x:c r="J23" s="21"/>
    </x:row>
    <x:row r="24" ht="93" customHeight="1">
      <x:c r="A24" s="16" t="n">
        <x:v>21</x:v>
      </x:c>
      <x:c r="B24" s="17" t="str">
        <x:v>学習していない用語</x:v>
      </x:c>
      <x:c r="C24" s="17" t="str">
        <x:v>「Codespaces secret」とは何ですか？</x:v>
      </x:c>
      <x:c r="D24" s="17" t="str">
        <x:v>GitHubのアカウント設定に登録しておく秘密の値。指定したrepoのCodespacesを起動すると環境変数として渡される。登録時に使うrepo（自分のfork）を選ぶ必要がある。起動中に登録した場合はCodespacesの再起動が必要。</x:v>
      </x:c>
      <x:c r="E24" s="17" t="str">
        <x:v>GitHubのアカウント設定に登録しておく秘密の値。指定したrepoのCodespacesを起動すると環境変数として渡される。登録時に使うrepo（自分のfork）を選ぶ必要がある。起動中に登録した場合はCodespacesの再起動が必要。</x:v>
      </x:c>
      <x:c r="F24" s="18" t="str">
        <x:v>正解</x:v>
      </x:c>
      <x:c r="G24" s="20" t="str">
        <x:v>正解</x:v>
      </x:c>
      <x:c r="H24" s="17" t="str">
        <x:v>主要な内容は正しいと判断</x:v>
      </x:c>
      <x:c r="I24" s="22" t="n">
        <x:f>IF(G24="正解",1,IF(G24="一部正解",0.5,IF(G24="不正解",0,"")))</x:f>
        <x:v>1</x:v>
      </x:c>
      <x:c r="J24" s="21"/>
    </x:row>
    <x:row r="25" ht="93" customHeight="1">
      <x:c r="A25" s="16" t="n">
        <x:v>22</x:v>
      </x:c>
      <x:c r="B25" s="17" t="str">
        <x:v>学習していない用語</x:v>
      </x:c>
      <x:c r="C25" s="17" t="str">
        <x:v>「ブランチ」とは何ですか？</x:v>
      </x:c>
      <x:c r="D25" s="17" t="str">
        <x:v>作業の流れを分けるための仕組み。main を壊さずに変更を試し、まとまったらPRで main に取り込む。本講座では回ごとに lec01 のような作業ブランチを作る。</x:v>
      </x:c>
      <x:c r="E25" s="17" t="str">
        <x:v>作業の流れを分けるための仕組み。main を壊さずに変更を試し、まとまったらPRで main に取り込む。本講座では回ごとに lec01 のような作業ブランチを作る。</x:v>
      </x:c>
      <x:c r="F25" s="18" t="str">
        <x:v>正解</x:v>
      </x:c>
      <x:c r="G25" s="20" t="str">
        <x:v>正解</x:v>
      </x:c>
      <x:c r="H25" s="17" t="str">
        <x:v>主要な内容は正しいと判断</x:v>
      </x:c>
      <x:c r="I25" s="22" t="n">
        <x:f>IF(G25="正解",1,IF(G25="一部正解",0.5,IF(G25="不正解",0,"")))</x:f>
        <x:v>1</x:v>
      </x:c>
      <x:c r="J25" s="21"/>
    </x:row>
    <x:row r="26" ht="93" customHeight="1">
      <x:c r="A26" s="16" t="n">
        <x:v>23</x:v>
      </x:c>
      <x:c r="B26" s="17" t="str">
        <x:v>学習していない用語</x:v>
      </x:c>
      <x:c r="C26" s="17" t="str">
        <x:v>「宿題の3レベル」とは何ですか？</x:v>
      </x:c>
      <x:c r="D26" s="17" t="str">
        <x:v>AIE2026の宿題の構成。「基礎（講義内容の確認）」「実装（自分でコードを書く）」「発展（調査や試行）」の3段階があり、どれか1つに取り組めばその回の宿題は完了。原則として採点はしない。</x:v>
      </x:c>
      <x:c r="E26" s="17" t="str">
        <x:v>AIE2026の宿題の構成。「基礎（講義内容の確認）」「実装（自分でコードを書く）」「発展（調査や試行）」の3段階があり、どれか1つに取り組めばその回の宿題は完了。原則として採点はしない。</x:v>
      </x:c>
      <x:c r="F26" s="18" t="str">
        <x:v>正解</x:v>
      </x:c>
      <x:c r="G26" s="20" t="str">
        <x:v>正解</x:v>
      </x:c>
      <x:c r="H26" s="17" t="str">
        <x:v>主要な内容は正しいと判断</x:v>
      </x:c>
      <x:c r="I26" s="22" t="n">
        <x:f>IF(G26="正解",1,IF(G26="一部正解",0.5,IF(G26="不正解",0,"")))</x:f>
        <x:v>1</x:v>
      </x:c>
      <x:c r="J26" s="21"/>
    </x:row>
    <x:row r="27" ht="93" customHeight="1">
      <x:c r="A27" s="16" t="n">
        <x:v>24</x:v>
      </x:c>
      <x:c r="B27" s="17" t="str">
        <x:v>学習していない用語</x:v>
      </x:c>
      <x:c r="C27" s="17" t="str">
        <x:v>「評価と改善のサイクル」とは何ですか？</x:v>
      </x:c>
      <x:c r="D27" s="17" t="str">
        <x:v>作る→測る→直すを繰り返す開発の進め方。AIアプリは出力が確率的に揺れるため、感覚ではなく評価データや指標で良し悪しを判断し、その結果をもとにプロンプト・データ・モデル・ツールを改善する。本講座では学習支援エージェントを題材に、回をまたいでこのサイクルを回す。</x:v>
      </x:c>
      <x:c r="E27" s="17" t="str">
        <x:v>作る→測る→直すを繰り返す開発の進め方。AIアプリは出力が確率的に揺れるため、感覚ではなく評価データや指標で良し悪しを判断し、その結果をもとにプロンプト・データ・モデル・ツールを改善する。本講座では学習支援エージェントを題材に、回をまたいでこのサイクルを回す。</x:v>
      </x:c>
      <x:c r="F27" s="18" t="str">
        <x:v>正解</x:v>
      </x:c>
      <x:c r="G27" s="20" t="str">
        <x:v>正解</x:v>
      </x:c>
      <x:c r="H27" s="17" t="str">
        <x:v>主要な内容は正しいと判断</x:v>
      </x:c>
      <x:c r="I27" s="22" t="n">
        <x:f>IF(G27="正解",1,IF(G27="一部正解",0.5,IF(G27="不正解",0,"")))</x:f>
        <x:v>1</x:v>
      </x:c>
      <x:c r="J27" s="21"/>
    </x:row>
    <x:row r="28" ht="93" customHeight="1">
      <x:c r="A28" s="16" t="n">
        <x:v>25</x:v>
      </x:c>
      <x:c r="B28" s="17" t="str">
        <x:v>学習していない用語</x:v>
      </x:c>
      <x:c r="C28" s="17" t="str">
        <x:v>「temperature」とは何ですか？</x:v>
      </x:c>
      <x:c r="D28" s="17" t="str">
        <x:v>次のトークンを選ぶときのランダムさを調整する設定値。低いほど出力が安定し、高いほど多様になる。同じ質問でも回答が変わる理由の一つ。</x:v>
      </x:c>
      <x:c r="E28" s="17" t="str">
        <x:v>次のトークンを選ぶときのランダムさを調整する設定値。低いほど出力が安定し、高いほど多様になる。同じ質問でも回答が変わる理由の一つ。</x:v>
      </x:c>
      <x:c r="F28" s="18" t="str">
        <x:v>正解</x:v>
      </x:c>
      <x:c r="G28" s="20" t="str">
        <x:v>正解</x:v>
      </x:c>
      <x:c r="H28" s="17" t="str">
        <x:v>主要な内容は正しいと判断</x:v>
      </x:c>
      <x:c r="I28" s="22" t="n">
        <x:f>IF(G28="正解",1,IF(G28="一部正解",0.5,IF(G28="不正解",0,"")))</x:f>
        <x:v>1</x:v>
      </x:c>
      <x:c r="J28" s="21"/>
    </x:row>
    <x:row r="29" ht="93" customHeight="1">
      <x:c r="A29" s="16" t="n">
        <x:v>26</x:v>
      </x:c>
      <x:c r="B29" s="17" t="str">
        <x:v>用語集にない架空語</x:v>
      </x:c>
      <x:c r="C29" s="17" t="str">
        <x:v>講座の用語集にある『架空のゼータ伝播法』とは何ですか？</x:v>
      </x:c>
      <x:c r="D29" s="17" t="str">
        <x:v>用語集に記載がありません。</x:v>
      </x:c>
      <x:c r="E29" s="17" t="str">
        <x:v>用語集に記載がありません。</x:v>
      </x:c>
      <x:c r="F29" s="18" t="str">
        <x:v>正解</x:v>
      </x:c>
      <x:c r="G29" s="20" t="str">
        <x:v>正解</x:v>
      </x:c>
      <x:c r="H29" s="17" t="str">
        <x:v>主要な内容は正しいと判断</x:v>
      </x:c>
      <x:c r="I29" s="22" t="n">
        <x:f>IF(G29="正解",1,IF(G29="一部正解",0.5,IF(G29="不正解",0,"")))</x:f>
        <x:v>1</x:v>
      </x:c>
      <x:c r="J29" s="21"/>
    </x:row>
    <x:row r="30" ht="93" customHeight="1">
      <x:c r="A30" s="16" t="n">
        <x:v>27</x:v>
      </x:c>
      <x:c r="B30" s="17" t="str">
        <x:v>用語集にない架空語</x:v>
      </x:c>
      <x:c r="C30" s="17" t="str">
        <x:v>講座の用語集にある『ミラージュ重み圧縮』とは何ですか？</x:v>
      </x:c>
      <x:c r="D30" s="17" t="str">
        <x:v>用語集に記載がありません。</x:v>
      </x:c>
      <x:c r="E30" s="17" t="str">
        <x:v>用語集に記載がありません。</x:v>
      </x:c>
      <x:c r="F30" s="18" t="str">
        <x:v>正解</x:v>
      </x:c>
      <x:c r="G30" s="20" t="str">
        <x:v>正解</x:v>
      </x:c>
      <x:c r="H30" s="17" t="str">
        <x:v>主要な内容は正しいと判断</x:v>
      </x:c>
      <x:c r="I30" s="22" t="n">
        <x:f>IF(G30="正解",1,IF(G30="一部正解",0.5,IF(G30="不正解",0,"")))</x:f>
        <x:v>1</x:v>
      </x:c>
      <x:c r="J30" s="21"/>
    </x:row>
    <x:row r="31" ht="93" customHeight="1">
      <x:c r="A31" s="16" t="n">
        <x:v>28</x:v>
      </x:c>
      <x:c r="B31" s="17" t="str">
        <x:v>用語集にない架空語</x:v>
      </x:c>
      <x:c r="C31" s="17" t="str">
        <x:v>講座の用語集にある『仮想のオメガ評価器』とは何ですか？</x:v>
      </x:c>
      <x:c r="D31" s="17" t="str">
        <x:v>用語集に記載がありません。</x:v>
      </x:c>
      <x:c r="E31" s="17" t="str">
        <x:v>用語集に記載がありません。</x:v>
      </x:c>
      <x:c r="F31" s="18" t="str">
        <x:v>正解</x:v>
      </x:c>
      <x:c r="G31" s="20" t="str">
        <x:v>正解</x:v>
      </x:c>
      <x:c r="H31" s="17" t="str">
        <x:v>主要な内容は正しいと判断</x:v>
      </x:c>
      <x:c r="I31" s="22" t="n">
        <x:f>IF(G31="正解",1,IF(G31="一部正解",0.5,IF(G31="不正解",0,"")))</x:f>
        <x:v>1</x:v>
      </x:c>
      <x:c r="J31" s="21"/>
    </x:row>
    <x:row r="32" ht="93" customHeight="1">
      <x:c r="A32" s="16" t="n">
        <x:v>29</x:v>
      </x:c>
      <x:c r="B32" s="17" t="str">
        <x:v>用語集にない架空語</x:v>
      </x:c>
      <x:c r="C32" s="17" t="str">
        <x:v>講座の用語集にある『架空のルナ推論器』とは何ですか？</x:v>
      </x:c>
      <x:c r="D32" s="17" t="str">
        <x:v>用語集に記載がありません。</x:v>
      </x:c>
      <x:c r="E32" s="17" t="str">
        <x:v>用語集に記載がありません。</x:v>
      </x:c>
      <x:c r="F32" s="18" t="str">
        <x:v>正解</x:v>
      </x:c>
      <x:c r="G32" s="20" t="str">
        <x:v>正解</x:v>
      </x:c>
      <x:c r="H32" s="17" t="str">
        <x:v>主要な内容は正しいと判断</x:v>
      </x:c>
      <x:c r="I32" s="22" t="n">
        <x:f>IF(G32="正解",1,IF(G32="一部正解",0.5,IF(G32="不正解",0,"")))</x:f>
        <x:v>1</x:v>
      </x:c>
      <x:c r="J32" s="21"/>
    </x:row>
    <x:row r="33" ht="93" customHeight="1">
      <x:c r="A33" s="16" t="n">
        <x:v>30</x:v>
      </x:c>
      <x:c r="B33" s="17" t="str">
        <x:v>用語集にない架空語</x:v>
      </x:c>
      <x:c r="C33" s="17" t="str">
        <x:v>講座の用語集にある『ネビュラ蒸留係数』とは何ですか？</x:v>
      </x:c>
      <x:c r="D33" s="17" t="str">
        <x:v>用語集に記載がありません。</x:v>
      </x:c>
      <x:c r="E33" s="17" t="str">
        <x:v>用語集に記載がありません。</x:v>
      </x:c>
      <x:c r="F33" s="18" t="str">
        <x:v>正解</x:v>
      </x:c>
      <x:c r="G33" s="20" t="str">
        <x:v>正解</x:v>
      </x:c>
      <x:c r="H33" s="17" t="str">
        <x:v>主要な内容は正しいと判断</x:v>
      </x:c>
      <x:c r="I33" s="22" t="n">
        <x:f>IF(G33="正解",1,IF(G33="一部正解",0.5,IF(G33="不正解",0,"")))</x:f>
        <x:v>1</x:v>
      </x:c>
      <x:c r="J33" s="21"/>
    </x:row>
  </x:sheetData>
  <x:dataValidations count="1">
    <x:dataValidation type="list" sqref="G4:G33">
      <x:formula1>"正解,一部正解,不正解"</x:formula1>
    </x:dataValidation>
  </x:dataValidations>
  <x:pageMargins left="0.7" right="0.7" top="0.75" bottom="0.75" header="0.3" footer="0.3"/>
</x:worksheet>
</file>